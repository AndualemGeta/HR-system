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200" windowHeight="6348" activeTab="1"/>
  </bookViews>
  <sheets>
    <sheet sheetId="1" name="HO,A.A SHOP" state="visible" r:id="rId4"/>
    <sheet sheetId="16" name="DSA" state="visible" r:id="rId5"/>
    <sheet sheetId="14" name="EBU Department" state="visible" r:id="rId6"/>
    <sheet sheetId="6" name="Aleletu" state="visible" r:id="rId7"/>
    <sheet sheetId="4" name="Chacha" state="visible" r:id="rId8"/>
    <sheet sheetId="5" name="Legetafo" state="visible" r:id="rId9"/>
    <sheet sheetId="12" name="Hmariam" state="visible" r:id="rId10"/>
    <sheet sheetId="15" name="Sirti" state="visible" r:id="rId11"/>
    <sheet sheetId="3" name="Mendida" state="visible" r:id="rId12"/>
    <sheet sheetId="2" name="Sendafa" state="visible" r:id="rId13"/>
    <sheet sheetId="7" name="Sheno" state="visible" r:id="rId14"/>
    <sheet sheetId="8" name="Performance Summary" state="visible" r:id="rId15"/>
    <sheet sheetId="11" name="Overtime" state="visible" r:id="rId16"/>
  </sheets>
  <definedNames>
    <definedName name="_xlnm._FilterDatabase">Sirti!$A$5:$S$5</definedName>
  </definedNames>
  <calcPr calcId="171027"/>
</workbook>
</file>

<file path=xl/sharedStrings.xml><?xml version="1.0" encoding="utf-8"?>
<sst xmlns="http://schemas.openxmlformats.org/spreadsheetml/2006/main" count="1058" uniqueCount="352">
  <si>
    <t>LeapFrog Software Technology Africa PLC</t>
  </si>
  <si>
    <t>Payroll Sheet Head office and A.A shop</t>
  </si>
  <si>
    <t>For the Month of June 2026/Sene 2018</t>
  </si>
  <si>
    <t>No.</t>
  </si>
  <si>
    <t>Name of Employees</t>
  </si>
  <si>
    <t>Position</t>
  </si>
  <si>
    <t>Shop Name</t>
  </si>
  <si>
    <t>Working days</t>
  </si>
  <si>
    <t xml:space="preserve">Basic 
Salary </t>
  </si>
  <si>
    <t xml:space="preserve">Monthly Salary </t>
  </si>
  <si>
    <t>Commiss. /OT</t>
  </si>
  <si>
    <t>KPI</t>
  </si>
  <si>
    <t>Gross Salary</t>
  </si>
  <si>
    <t>Taxable Income</t>
  </si>
  <si>
    <t xml:space="preserve">Income
 Tax </t>
  </si>
  <si>
    <t>Pension 7%</t>
  </si>
  <si>
    <t xml:space="preserve">Pension 
11%</t>
  </si>
  <si>
    <t>Shortage/ Loan</t>
  </si>
  <si>
    <t xml:space="preserve">Total
Deduction</t>
  </si>
  <si>
    <t xml:space="preserve">Transport &amp; other 
allowance </t>
  </si>
  <si>
    <t xml:space="preserve">Net Pay 
</t>
  </si>
  <si>
    <t>sign</t>
  </si>
  <si>
    <t>Abaynesh Abera</t>
  </si>
  <si>
    <t>Cleaner</t>
  </si>
  <si>
    <t>4KILO</t>
  </si>
  <si>
    <t>Abebu Shumye</t>
  </si>
  <si>
    <t>BoleArabsa</t>
  </si>
  <si>
    <t>Abel Gezahegn</t>
  </si>
  <si>
    <t>SM</t>
  </si>
  <si>
    <t>Abado</t>
  </si>
  <si>
    <t>Abezash Yeneneh</t>
  </si>
  <si>
    <t>Wessen</t>
  </si>
  <si>
    <t>Abdurehman Assefa</t>
  </si>
  <si>
    <t>BA coordinator</t>
  </si>
  <si>
    <t>Adelal Muhabaw</t>
  </si>
  <si>
    <t>Kara</t>
  </si>
  <si>
    <t>Alemi Yadafa</t>
  </si>
  <si>
    <t>Alem Seifu</t>
  </si>
  <si>
    <t>6KILO</t>
  </si>
  <si>
    <t>Alemnesh Asfaw</t>
  </si>
  <si>
    <t>DSP</t>
  </si>
  <si>
    <t xml:space="preserve">Alemtsehay Ashine </t>
  </si>
  <si>
    <t>HR MANAGER</t>
  </si>
  <si>
    <t>Head Office</t>
  </si>
  <si>
    <t>Amanuel Abebe</t>
  </si>
  <si>
    <t>HR OFFICER</t>
  </si>
  <si>
    <t>Andualem Assefa</t>
  </si>
  <si>
    <t>Finance Director</t>
  </si>
  <si>
    <t>Andualem Getachew</t>
  </si>
  <si>
    <t>IT</t>
  </si>
  <si>
    <t>Asiya Abera</t>
  </si>
  <si>
    <t>Shiromeda</t>
  </si>
  <si>
    <t>Atalel Talasebaw</t>
  </si>
  <si>
    <t>AYAT49</t>
  </si>
  <si>
    <t>Aynalem Bayssa Feyssa</t>
  </si>
  <si>
    <t>Accountant</t>
  </si>
  <si>
    <t>Betelhem Million</t>
  </si>
  <si>
    <t>Megenagna</t>
  </si>
  <si>
    <t xml:space="preserve">Betelhem Tesfaye </t>
  </si>
  <si>
    <t>S.Accountant</t>
  </si>
  <si>
    <t>AyatTafo</t>
  </si>
  <si>
    <t>Belge Mola</t>
  </si>
  <si>
    <t>H/mariam</t>
  </si>
  <si>
    <t>Bogal Bekele</t>
  </si>
  <si>
    <t>Security</t>
  </si>
  <si>
    <t>Fiyelbet</t>
  </si>
  <si>
    <t>Dagim Mengistu</t>
  </si>
  <si>
    <t>Driver</t>
  </si>
  <si>
    <t>Dinar Kahisay Berhe</t>
  </si>
  <si>
    <t>Eden Ambaw</t>
  </si>
  <si>
    <t>Emebet Belete</t>
  </si>
  <si>
    <t>Summit</t>
  </si>
  <si>
    <t>Enat Fiseha</t>
  </si>
  <si>
    <t>Enatenesh Tezera</t>
  </si>
  <si>
    <t>Ekram Hussen Argaw</t>
  </si>
  <si>
    <t>Eyob Girma Ketema</t>
  </si>
  <si>
    <t>BA coordinator/Ebu Sales</t>
  </si>
  <si>
    <t>Fantu Hailemariam</t>
  </si>
  <si>
    <t>Fasika Girma</t>
  </si>
  <si>
    <t>Kechene</t>
  </si>
  <si>
    <t>Feruza Jemal</t>
  </si>
  <si>
    <t>Frewoini Haile</t>
  </si>
  <si>
    <t>Genet Girma</t>
  </si>
  <si>
    <t>Genet G/tsadik</t>
  </si>
  <si>
    <t>Genet Legese Kuma</t>
  </si>
  <si>
    <t>Genzeb Degif</t>
  </si>
  <si>
    <t>Guluma chekolu</t>
  </si>
  <si>
    <t xml:space="preserve">Habtamu Nega Ejigu </t>
  </si>
  <si>
    <t>Halefom  Shiferaw</t>
  </si>
  <si>
    <t>Hawi Jifera</t>
  </si>
  <si>
    <t>Helen G/Tinsae</t>
  </si>
  <si>
    <t>Shop SV</t>
  </si>
  <si>
    <t>Helina Deribew</t>
  </si>
  <si>
    <t>Heran Aboye</t>
  </si>
  <si>
    <t>Hermela Arega</t>
  </si>
  <si>
    <t>Ayat49</t>
  </si>
  <si>
    <t>Hermon Firew</t>
  </si>
  <si>
    <t>Hirut Mamo</t>
  </si>
  <si>
    <t>Jilalu Kedir Shifa</t>
  </si>
  <si>
    <t>Kibrom Kahisay</t>
  </si>
  <si>
    <t>Technician</t>
  </si>
  <si>
    <t>Kidist Alebachew</t>
  </si>
  <si>
    <t>Distribution MGR</t>
  </si>
  <si>
    <t>Kidist Asmar Bihonilign</t>
  </si>
  <si>
    <t>Kirsnesh Eshete</t>
  </si>
  <si>
    <t>Kirubel Tegafaw</t>
  </si>
  <si>
    <t>Konjit Ashenafi</t>
  </si>
  <si>
    <t>Leul Tilaye</t>
  </si>
  <si>
    <t>Made Geta</t>
  </si>
  <si>
    <t>Mahlet Solomon</t>
  </si>
  <si>
    <t>Meaza Getenet</t>
  </si>
  <si>
    <t>Distribution Officer</t>
  </si>
  <si>
    <t>Mekides Sime</t>
  </si>
  <si>
    <t>Finance mgr</t>
  </si>
  <si>
    <t>Mekonin Siyum</t>
  </si>
  <si>
    <t>clurk</t>
  </si>
  <si>
    <t>Melkamu Tessema</t>
  </si>
  <si>
    <t>Mesfin Tesfaye</t>
  </si>
  <si>
    <t>GM</t>
  </si>
  <si>
    <t>Merima Degu</t>
  </si>
  <si>
    <t>Mihret Atlabachew</t>
  </si>
  <si>
    <t>Mintamir Ayele</t>
  </si>
  <si>
    <t>ASM</t>
  </si>
  <si>
    <t>Miraf Addisu</t>
  </si>
  <si>
    <t>Misganew Damte</t>
  </si>
  <si>
    <t>Mitiku Kedit</t>
  </si>
  <si>
    <t>Mulunesh Hayanesh</t>
  </si>
  <si>
    <t>Rahel Abayneh</t>
  </si>
  <si>
    <t>Rahmet Kedir</t>
  </si>
  <si>
    <t>Robel Siraw Kebede</t>
  </si>
  <si>
    <t>Rosa Alehegn</t>
  </si>
  <si>
    <t>Samrawit Elias</t>
  </si>
  <si>
    <t>Device SV</t>
  </si>
  <si>
    <t>Samrawit Mulugeta</t>
  </si>
  <si>
    <t>Samrawit Tekalgn</t>
  </si>
  <si>
    <t>Seble Bejiga</t>
  </si>
  <si>
    <t>Finance</t>
  </si>
  <si>
    <t>Setegn Argaw Bereka</t>
  </si>
  <si>
    <t>Selam Ashenafi</t>
  </si>
  <si>
    <t>CEO coordinator</t>
  </si>
  <si>
    <t>Selam Getachew</t>
  </si>
  <si>
    <t>Selamawit Million</t>
  </si>
  <si>
    <t>Selamawit Tesfaye</t>
  </si>
  <si>
    <t>Ferencai</t>
  </si>
  <si>
    <t>Selamawit Wagnew Berbew</t>
  </si>
  <si>
    <t>Senait Fikremariam</t>
  </si>
  <si>
    <t>Serkalem Moga</t>
  </si>
  <si>
    <t>Shemsu Kedir</t>
  </si>
  <si>
    <t>Shetu Bahru</t>
  </si>
  <si>
    <t>Simegn Ashebir</t>
  </si>
  <si>
    <t>Sisay Dereje</t>
  </si>
  <si>
    <t>Solomon Million</t>
  </si>
  <si>
    <t>Tebarek Bargicho</t>
  </si>
  <si>
    <t>sales operation</t>
  </si>
  <si>
    <t>Tarekegn Ameru</t>
  </si>
  <si>
    <t>Tesefaye Hunachew</t>
  </si>
  <si>
    <t xml:space="preserve">Tesfaye Sisay </t>
  </si>
  <si>
    <t>Teshome Yalew</t>
  </si>
  <si>
    <t>Tewdros Ayanaw</t>
  </si>
  <si>
    <t>Tewodros Tadesse Yimer</t>
  </si>
  <si>
    <t>Tiblets Kidane</t>
  </si>
  <si>
    <t>Tigist Sileshi</t>
  </si>
  <si>
    <t>Tigist Simesh</t>
  </si>
  <si>
    <t>Tiringo Endaye</t>
  </si>
  <si>
    <t>Tsehai Sintayehu</t>
  </si>
  <si>
    <t>W/Mariam Worku</t>
  </si>
  <si>
    <t>Wubalem Worke</t>
  </si>
  <si>
    <t>Yaschilewal Aweke</t>
  </si>
  <si>
    <t>Yeshiemebet Abera</t>
  </si>
  <si>
    <t>Yohannes Mulugeta</t>
  </si>
  <si>
    <t xml:space="preserve">Total      </t>
  </si>
  <si>
    <t>Prepaired By</t>
  </si>
  <si>
    <t>Checked By:-</t>
  </si>
  <si>
    <t>Approved By:-</t>
  </si>
  <si>
    <t>Name :- _____________________________</t>
  </si>
  <si>
    <t>Name :- ______________________________</t>
  </si>
  <si>
    <t>Sign :- ______________________________</t>
  </si>
  <si>
    <t>Sign :- ________________________________</t>
  </si>
  <si>
    <t>Date:- _____________________________</t>
  </si>
  <si>
    <t>Date:- _______________________________</t>
  </si>
  <si>
    <t>Payroll Sheet DSA Staff</t>
  </si>
  <si>
    <t>For the Month of Sene 2018</t>
  </si>
  <si>
    <t>Abdi Sultan</t>
  </si>
  <si>
    <t>DSA Coordinator</t>
  </si>
  <si>
    <t>Adino Moges</t>
  </si>
  <si>
    <t xml:space="preserve">Ayele Getahun </t>
  </si>
  <si>
    <t>Azazhu Gashaw</t>
  </si>
  <si>
    <t>DSA</t>
  </si>
  <si>
    <t>Belaynew Tesfa</t>
  </si>
  <si>
    <t>Biruk Asmare</t>
  </si>
  <si>
    <t>Meri AYAT</t>
  </si>
  <si>
    <t>Getachew Altaseb</t>
  </si>
  <si>
    <t>Habtamu Shewaye</t>
  </si>
  <si>
    <t xml:space="preserve">Hassen Seid </t>
  </si>
  <si>
    <t>Lelise Melkam</t>
  </si>
  <si>
    <t>Mihret Worku</t>
  </si>
  <si>
    <t>Samuel Tesfaye</t>
  </si>
  <si>
    <t>Sekina Hassen</t>
  </si>
  <si>
    <t>Solomon Dessie</t>
  </si>
  <si>
    <t>Tigist Gedif</t>
  </si>
  <si>
    <t>Deribe Nigussie</t>
  </si>
  <si>
    <t>Aleltu</t>
  </si>
  <si>
    <t>Gete Getahun</t>
  </si>
  <si>
    <t>Chacha</t>
  </si>
  <si>
    <t>Moges Nigusu</t>
  </si>
  <si>
    <t>Teka Dejene</t>
  </si>
  <si>
    <t>Eshetu Zewde</t>
  </si>
  <si>
    <t>Tafo Mission</t>
  </si>
  <si>
    <t>Erena Gudeta</t>
  </si>
  <si>
    <t>Gebeyaw Aynalem</t>
  </si>
  <si>
    <t>Tafo</t>
  </si>
  <si>
    <t>Lakech Eshetu</t>
  </si>
  <si>
    <t>Mahlet G/wolde</t>
  </si>
  <si>
    <t>Hageremariam</t>
  </si>
  <si>
    <t>Arega Jenena</t>
  </si>
  <si>
    <t>Sirti</t>
  </si>
  <si>
    <t>Alem Aschenaki</t>
  </si>
  <si>
    <t>Mendida</t>
  </si>
  <si>
    <t>Aman Nigusu</t>
  </si>
  <si>
    <t>Fikirte Abiye</t>
  </si>
  <si>
    <t>Bacha Wondu</t>
  </si>
  <si>
    <t>Sendafa</t>
  </si>
  <si>
    <t>Birtukan Diriba</t>
  </si>
  <si>
    <t>Sendafa Beke</t>
  </si>
  <si>
    <t>Yafet Abiy</t>
  </si>
  <si>
    <t>Shiferaw Gebre</t>
  </si>
  <si>
    <t>Sheno</t>
  </si>
  <si>
    <t>Solomon Hailu</t>
  </si>
  <si>
    <t>Payroll Sheet EBU Staff</t>
  </si>
  <si>
    <t>Abuye Behaylu</t>
  </si>
  <si>
    <t>FTTH teamleader</t>
  </si>
  <si>
    <t>Amanuel Dede</t>
  </si>
  <si>
    <t>Business Development mgt</t>
  </si>
  <si>
    <t>Anbel Haylome</t>
  </si>
  <si>
    <t>Outdoor Sales</t>
  </si>
  <si>
    <t xml:space="preserve">Bole Arabsa </t>
  </si>
  <si>
    <t>Ashenafi Abdi</t>
  </si>
  <si>
    <t>FTTH TeamLeader</t>
  </si>
  <si>
    <t>Bereket Alemante</t>
  </si>
  <si>
    <t>Bezawit H/Michael</t>
  </si>
  <si>
    <t>Biniyam H/Gebriel</t>
  </si>
  <si>
    <t>Birtukan Boja</t>
  </si>
  <si>
    <t>Birtukan Worku</t>
  </si>
  <si>
    <t>Degeye Derba</t>
  </si>
  <si>
    <t>Derbe Girma</t>
  </si>
  <si>
    <t>Eyerusalem Gesisa</t>
  </si>
  <si>
    <t>Eyob Demillie</t>
  </si>
  <si>
    <t>Firaol tsegayee</t>
  </si>
  <si>
    <t>Genet Fisha</t>
  </si>
  <si>
    <t>Hana Belay</t>
  </si>
  <si>
    <t>Habtamu Assefa</t>
  </si>
  <si>
    <t>Habtamu Tilahun</t>
  </si>
  <si>
    <t>Haymanot Teferi</t>
  </si>
  <si>
    <t>Helen Ashagre</t>
  </si>
  <si>
    <t>Henok Asnake</t>
  </si>
  <si>
    <t xml:space="preserve">Hermela Chalachew </t>
  </si>
  <si>
    <t>Hiwot Getu</t>
  </si>
  <si>
    <t>Kalkidan Tafese</t>
  </si>
  <si>
    <t>Mastewal Gullat</t>
  </si>
  <si>
    <t>Melat Taye</t>
  </si>
  <si>
    <t>Mistire Amezenechi</t>
  </si>
  <si>
    <t>Mihiret Sisay</t>
  </si>
  <si>
    <t>Rehima Senbti</t>
  </si>
  <si>
    <t>Samrawit Chale</t>
  </si>
  <si>
    <t>Sena Debebe</t>
  </si>
  <si>
    <t>Solomon Wondesen</t>
  </si>
  <si>
    <t>Temesgen Asefa</t>
  </si>
  <si>
    <t>Temesgen Gubena</t>
  </si>
  <si>
    <t>Tigist Admasu</t>
  </si>
  <si>
    <t>Tsion Fikeru</t>
  </si>
  <si>
    <t>Wassihun Getu</t>
  </si>
  <si>
    <t>FTTH Mgr</t>
  </si>
  <si>
    <t>Yeabsira Abebe</t>
  </si>
  <si>
    <t>Yewubdar Kefyalew</t>
  </si>
  <si>
    <t>Yosef Chalachew</t>
  </si>
  <si>
    <t>Total</t>
  </si>
  <si>
    <t>Payroll Sheet Aleltu shop</t>
  </si>
  <si>
    <t>Work place</t>
  </si>
  <si>
    <t>Fana Abebe</t>
  </si>
  <si>
    <t>Getenet Worku</t>
  </si>
  <si>
    <t>Hana Bulo Bekele</t>
  </si>
  <si>
    <t>Payroll Sheet Chacha shop</t>
  </si>
  <si>
    <t>Fanose Tesfaye</t>
  </si>
  <si>
    <t>Mikiyas Tadesse</t>
  </si>
  <si>
    <t>Sosna Tesfaye</t>
  </si>
  <si>
    <t>Payroll Sheet Lege-Tafo</t>
  </si>
  <si>
    <t>Addisu Asefa</t>
  </si>
  <si>
    <t>Ba Coordinator</t>
  </si>
  <si>
    <t>Feyisa Ayana</t>
  </si>
  <si>
    <t>Gudina Gudeta</t>
  </si>
  <si>
    <t>Hadiya Abdi</t>
  </si>
  <si>
    <t>Haimanot Alemu</t>
  </si>
  <si>
    <t>Meti Abdisa</t>
  </si>
  <si>
    <t>Rahel G/Selam</t>
  </si>
  <si>
    <t>Zeyiba Adem</t>
  </si>
  <si>
    <t>Payroll Sheet Hageremariam shop</t>
  </si>
  <si>
    <t>Ashenafi Deres</t>
  </si>
  <si>
    <t>Moges Neguse</t>
  </si>
  <si>
    <t>Payroll Sheet Sirti shop</t>
  </si>
  <si>
    <t>Lishe Baza Assefa</t>
  </si>
  <si>
    <t>Payroll Sheet Mendida shop</t>
  </si>
  <si>
    <t>Hailey Fantu</t>
  </si>
  <si>
    <t>Area SV</t>
  </si>
  <si>
    <t>Payroll Sheet Sendafa shop</t>
  </si>
  <si>
    <t>For the Month of Megabit 2018</t>
  </si>
  <si>
    <t>Arsema Tariku</t>
  </si>
  <si>
    <t>Bekam Tadese</t>
  </si>
  <si>
    <t>BA Coordinator</t>
  </si>
  <si>
    <t>Dinkenesh Yadetae</t>
  </si>
  <si>
    <t>Gebeyanesh Wonedemu</t>
  </si>
  <si>
    <t>Merawit Dendena</t>
  </si>
  <si>
    <t>Mintamir Asefaw</t>
  </si>
  <si>
    <t>Yehalawork Tafesse</t>
  </si>
  <si>
    <t>Yismashewa Endaye</t>
  </si>
  <si>
    <t>Yonas Hussen</t>
  </si>
  <si>
    <t>Payroll Sheet Sheno shop</t>
  </si>
  <si>
    <t>Fetene Belete</t>
  </si>
  <si>
    <t>Million Sime Bekele</t>
  </si>
  <si>
    <t>Rabiya Kasahun</t>
  </si>
  <si>
    <t>Tesfanesh Fana</t>
  </si>
  <si>
    <t>Tizazu Tilahun</t>
  </si>
  <si>
    <t>Wosene Denssie</t>
  </si>
  <si>
    <t xml:space="preserve"> DSA  March AIRTIME SALES PERFORMANCE</t>
  </si>
  <si>
    <t>No</t>
  </si>
  <si>
    <t>Shop</t>
  </si>
  <si>
    <t>DSA Name</t>
  </si>
  <si>
    <t>Employee Type</t>
  </si>
  <si>
    <t>Monthly targer</t>
  </si>
  <si>
    <t>Sales</t>
  </si>
  <si>
    <t>Per</t>
  </si>
  <si>
    <t>trans</t>
  </si>
  <si>
    <t>%</t>
  </si>
  <si>
    <t>Commission</t>
  </si>
  <si>
    <t>KotebeHana</t>
  </si>
  <si>
    <t>Solomon</t>
  </si>
  <si>
    <t>Old</t>
  </si>
  <si>
    <t>Kotebe Kara</t>
  </si>
  <si>
    <t>Sekina</t>
  </si>
  <si>
    <t>Bole Arabsa</t>
  </si>
  <si>
    <t>Lalisa</t>
  </si>
  <si>
    <t>Birtukan</t>
  </si>
  <si>
    <t>Overtime For Megabit 2018</t>
  </si>
  <si>
    <t>S.No</t>
  </si>
  <si>
    <t>Employee Name</t>
  </si>
  <si>
    <t>Basic Salary</t>
  </si>
  <si>
    <t>Normal hours</t>
  </si>
  <si>
    <t xml:space="preserve">Night </t>
  </si>
  <si>
    <t>Sunday</t>
  </si>
  <si>
    <t>Hollyday</t>
  </si>
  <si>
    <t>Total Hrs</t>
  </si>
  <si>
    <t>Amount</t>
  </si>
  <si>
    <t>Bogale Bekele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</si>
</sst>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(#,##0.00);_(* &quot;-&quot;??_);_(@_)"/>
    <numFmt numFmtId="165" formatCode="_-* #,##0.00_-;-* #,##0.00_-;_-* &quot;-&quot;??_-;_-@_-"/>
  </numFmts>
  <fonts count="49" x14ac:knownFonts="1">
    <font>
      <color theme="1"/>
      <family val="2"/>
      <scheme val="minor"/>
      <sz val="11"/>
      <name val="Calibri"/>
    </font>
    <font>
      <color theme="1"/>
      <family val="1"/>
      <sz val="11"/>
      <name val="Times New Roman"/>
    </font>
    <font>
      <b/>
      <u/>
      <color theme="1"/>
      <family val="1"/>
      <sz val="28"/>
      <name val="Times New Roman"/>
    </font>
    <font>
      <b/>
      <u/>
      <color theme="1"/>
      <family val="1"/>
      <sz val="20"/>
      <name val="Times New Roman"/>
    </font>
    <font>
      <b/>
      <color theme="1"/>
      <family val="2"/>
      <scheme val="minor"/>
      <sz val="20"/>
      <name val="Calibri"/>
    </font>
    <font>
      <b/>
      <color theme="1"/>
      <family val="1"/>
      <sz val="20"/>
      <name val="Times New Roman"/>
    </font>
    <font>
      <color theme="1"/>
      <family val="1"/>
      <sz val="20"/>
      <name val="Times New Roman"/>
    </font>
    <font>
      <color theme="1"/>
      <family val="1"/>
      <sz val="14"/>
      <name val="Times New Roman"/>
    </font>
    <font>
      <family val="1"/>
      <sz val="20"/>
      <name val="Times New Roman"/>
    </font>
    <font>
      <b/>
      <color theme="1"/>
      <family val="1"/>
      <sz val="22"/>
      <name val="Times New Roman"/>
    </font>
    <font>
      <b/>
      <color theme="1"/>
      <family val="1"/>
      <sz val="24"/>
      <name val="Times New Roman"/>
    </font>
    <font>
      <b/>
      <color theme="1"/>
      <family val="1"/>
      <sz val="18"/>
      <name val="Times New Roman"/>
    </font>
    <font>
      <u/>
      <color theme="1"/>
      <family val="1"/>
      <sz val="20"/>
      <name val="Times New Roman"/>
    </font>
    <font>
      <color theme="1"/>
      <family val="2"/>
      <scheme val="minor"/>
      <sz val="20"/>
      <name val="Calibri"/>
    </font>
    <font>
      <b/>
      <color theme="1"/>
      <family val="1"/>
      <sz val="11"/>
      <name val="Times New Roman"/>
    </font>
    <font>
      <family val="2"/>
      <sz val="10"/>
      <name val="Tahoma"/>
    </font>
    <font>
      <color theme="1"/>
      <family val="2"/>
      <sz val="10"/>
      <name val="Tahoma"/>
    </font>
    <font>
      <color theme="1"/>
      <family val="2"/>
      <sz val="18"/>
      <name val="Tahoma"/>
    </font>
    <font>
      <b/>
      <u/>
      <family val="2"/>
      <sz val="18"/>
      <name val="Tahoma"/>
    </font>
    <font>
      <b/>
      <color theme="1"/>
      <family val="1"/>
      <sz val="14"/>
      <name val="Times New Roman"/>
    </font>
    <font>
      <color theme="1"/>
      <family val="1"/>
      <sz val="16"/>
      <name val="Times New Roman"/>
    </font>
    <font>
      <b/>
      <color rgb="FFFF0000"/>
      <family val="2"/>
      <sz val="10"/>
      <name val="Tahoma"/>
    </font>
    <font>
      <color theme="1"/>
      <family val="2"/>
      <scheme val="minor"/>
      <sz val="14"/>
      <name val="Calibri"/>
    </font>
    <font>
      <color rgb="FFFF0000"/>
      <family val="2"/>
      <sz val="10"/>
      <name val="Tahoma"/>
    </font>
    <font>
      <color theme="1"/>
      <family val="2"/>
      <scheme val="minor"/>
      <sz val="16"/>
      <name val="Calibri"/>
    </font>
    <font>
      <family val="1"/>
      <sz val="14"/>
      <name val="Times New Roman"/>
    </font>
    <font>
      <b/>
      <u/>
      <color theme="1"/>
      <family val="2"/>
      <sz val="10"/>
      <name val="Tahoma"/>
    </font>
    <font>
      <u/>
      <color theme="1"/>
      <family val="2"/>
      <sz val="10"/>
      <name val="Tahoma"/>
    </font>
    <font>
      <b/>
      <family val="2"/>
      <sz val="10"/>
      <name val="Tahoma"/>
    </font>
    <font>
      <b/>
      <u/>
      <family val="2"/>
      <sz val="12"/>
      <name val="Tahoma"/>
    </font>
    <font>
      <b/>
      <color theme="1"/>
      <family val="2"/>
      <sz val="10"/>
      <name val="Tahoma"/>
    </font>
    <font>
      <color theme="1"/>
      <family val="2"/>
      <scheme val="minor"/>
      <sz val="10"/>
      <name val="Calibri"/>
    </font>
    <font>
      <b/>
      <u/>
      <family val="2"/>
      <sz val="10"/>
      <name val="Tahoma"/>
    </font>
    <font>
      <u/>
      <family val="2"/>
      <sz val="10"/>
      <name val="Tahoma"/>
    </font>
    <font>
      <b/>
      <u/>
      <family val="1"/>
      <sz val="28"/>
      <name val="Times New Roman"/>
    </font>
    <font>
      <b/>
      <family val="1"/>
      <sz val="20"/>
      <name val="Times New Roman"/>
    </font>
    <font>
      <color rgb="FFFF0000"/>
      <family val="2"/>
      <scheme val="minor"/>
      <sz val="11"/>
      <name val="Calibri"/>
    </font>
    <font>
      <color rgb="FFFF0000"/>
      <family val="1"/>
      <sz val="20"/>
      <name val="Times New Roman"/>
    </font>
    <font>
      <b/>
      <family val="1"/>
      <sz val="22"/>
      <name val="Times New Roman"/>
    </font>
    <font>
      <family val="1"/>
      <sz val="11"/>
      <name val="Times New Roman"/>
    </font>
    <font>
      <b/>
      <u/>
      <family val="1"/>
      <sz val="20"/>
      <name val="Times New Roman"/>
    </font>
    <font>
      <u/>
      <family val="1"/>
      <sz val="20"/>
      <name val="Times New Roman"/>
    </font>
    <font>
      <family val="2"/>
      <scheme val="minor"/>
      <sz val="20"/>
      <name val="Calibri"/>
    </font>
    <font>
      <b/>
      <family val="1"/>
      <sz val="11"/>
      <name val="Times New Roman"/>
    </font>
    <font>
      <family val="1"/>
      <sz val="18"/>
      <name val="Times New Roman"/>
    </font>
    <font>
      <b/>
      <color theme="1"/>
      <family val="2"/>
      <sz val="11"/>
      <name val="Tahoma"/>
    </font>
    <font>
      <b/>
      <color theme="1"/>
      <family val="2"/>
      <sz val="12"/>
      <name val="Tahoma"/>
    </font>
    <font>
      <color theme="1"/>
      <family val="2"/>
      <sz val="12"/>
      <name val="Tahoma"/>
    </font>
    <font>
      <family val="1"/>
      <sz val="12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9">
    <xf numFmtId="0" fontId="0" fillId="0" borderId="0" xfId="0"/>
    <xf numFmtId="0" fontId="1" fillId="2" borderId="0" xfId="0" applyFont="1" applyFill="1" applyAlignment="1" applyProtection="1">
      <alignment vertical="center"/>
      <protection locked="0"/>
    </xf>
    <xf numFmtId="0" fontId="1" fillId="2" borderId="0" xfId="0" applyFont="1" applyFill="1" applyProtection="1"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left"/>
      <protection locked="0"/>
    </xf>
    <xf numFmtId="0" fontId="0" fillId="2" borderId="0" xfId="0" applyFill="1" applyProtection="1"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wrapText="1"/>
      <protection locked="0"/>
    </xf>
    <xf numFmtId="0" fontId="3" fillId="2" borderId="1" xfId="0" applyFont="1" applyFill="1" applyBorder="1" applyAlignment="1" applyProtection="1">
      <alignment horizontal="center" wrapText="1"/>
      <protection locked="0"/>
    </xf>
    <xf numFmtId="0" fontId="4" fillId="2" borderId="0" xfId="0" applyFont="1" applyFill="1" applyProtection="1">
      <protection locked="0"/>
    </xf>
    <xf numFmtId="0" fontId="5" fillId="2" borderId="2" xfId="0" applyFont="1" applyFill="1" applyBorder="1" applyAlignment="1" applyProtection="1">
      <alignment vertical="center"/>
      <protection locked="0"/>
    </xf>
    <xf numFmtId="0" fontId="5" fillId="2" borderId="2" xfId="0" applyFont="1" applyFill="1" applyBorder="1" applyAlignment="1" applyProtection="1">
      <alignment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164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5" fillId="2" borderId="2" xfId="0" applyNumberFormat="1" applyFont="1" applyFill="1" applyBorder="1" applyAlignment="1" applyProtection="1">
      <alignment horizontal="left" vertical="center" wrapText="1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164" fontId="5" fillId="2" borderId="2" xfId="0" applyNumberFormat="1" applyFont="1" applyFill="1" applyBorder="1" applyAlignment="1" applyProtection="1">
      <alignment vertical="center" wrapText="1"/>
      <protection locked="0"/>
    </xf>
    <xf numFmtId="0" fontId="5" fillId="2" borderId="3" xfId="0" applyFont="1" applyFill="1" applyBorder="1" applyAlignment="1" applyProtection="1">
      <alignment vertical="center" wrapText="1"/>
      <protection locked="0"/>
    </xf>
    <xf numFmtId="0" fontId="5" fillId="2" borderId="2" xfId="0" applyFont="1" applyFill="1" applyBorder="1" applyAlignment="1" applyProtection="1">
      <alignment wrapText="1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vertical="center"/>
      <protection locked="0"/>
    </xf>
    <xf numFmtId="164" fontId="6" fillId="2" borderId="3" xfId="0" applyNumberFormat="1" applyFont="1" applyFill="1" applyBorder="1" applyAlignment="1" applyProtection="1">
      <alignment vertical="center"/>
      <protection locked="0"/>
    </xf>
    <xf numFmtId="164" fontId="6" fillId="2" borderId="3" xfId="0" applyNumberFormat="1" applyFont="1" applyFill="1" applyBorder="1" applyProtection="1">
      <protection locked="0"/>
    </xf>
    <xf numFmtId="164" fontId="6" fillId="2" borderId="3" xfId="0" applyNumberFormat="1" applyFont="1" applyFill="1" applyBorder="1" applyAlignment="1" applyProtection="1">
      <alignment horizontal="left"/>
      <protection locked="0"/>
    </xf>
    <xf numFmtId="164" fontId="6" fillId="2" borderId="3" xfId="0" applyNumberFormat="1" applyFont="1" applyFill="1" applyBorder="1" applyAlignment="1" applyProtection="1">
      <alignment vertical="center" wrapText="1"/>
      <protection locked="0"/>
    </xf>
    <xf numFmtId="164" fontId="6" fillId="2" borderId="3" xfId="0" applyNumberFormat="1" applyFont="1" applyFill="1" applyBorder="1" applyAlignment="1" applyProtection="1">
      <alignment wrapText="1"/>
      <protection locked="0"/>
    </xf>
    <xf numFmtId="164" fontId="6" fillId="2" borderId="3" xfId="0" applyNumberFormat="1" applyFont="1" applyFill="1" applyBorder="1" applyAlignment="1" applyProtection="1">
      <alignment horizontal="center"/>
      <protection locked="0"/>
    </xf>
    <xf numFmtId="164" fontId="7" fillId="2" borderId="0" xfId="0" applyNumberFormat="1" applyFont="1" applyFill="1" applyProtection="1">
      <protection locked="0"/>
    </xf>
    <xf numFmtId="164" fontId="6" fillId="2" borderId="2" xfId="0" applyNumberFormat="1" applyFont="1" applyFill="1" applyBorder="1" applyProtection="1">
      <protection locked="0"/>
    </xf>
    <xf numFmtId="164" fontId="6" fillId="3" borderId="3" xfId="0" applyNumberFormat="1" applyFont="1" applyFill="1" applyBorder="1" applyAlignment="1" applyProtection="1">
      <alignment vertical="center" wrapText="1"/>
      <protection locked="0"/>
    </xf>
    <xf numFmtId="164" fontId="6" fillId="4" borderId="3" xfId="0" applyNumberFormat="1" applyFont="1" applyFill="1" applyBorder="1" applyAlignment="1" applyProtection="1">
      <alignment horizontal="center"/>
      <protection locked="0"/>
    </xf>
    <xf numFmtId="164" fontId="6" fillId="3" borderId="2" xfId="0" applyNumberFormat="1" applyFont="1" applyFill="1" applyBorder="1" applyProtection="1">
      <protection locked="0"/>
    </xf>
    <xf numFmtId="0" fontId="6" fillId="3" borderId="3" xfId="0" applyFont="1" applyFill="1" applyBorder="1" applyAlignment="1" applyProtection="1">
      <alignment vertical="center"/>
      <protection locked="0"/>
    </xf>
    <xf numFmtId="0" fontId="1" fillId="2" borderId="3" xfId="0" applyFont="1" applyFill="1" applyBorder="1" applyProtection="1">
      <protection locked="0"/>
    </xf>
    <xf numFmtId="164" fontId="6" fillId="3" borderId="3" xfId="0" applyNumberFormat="1" applyFont="1" applyFill="1" applyBorder="1" applyAlignment="1" applyProtection="1">
      <alignment vertical="center"/>
      <protection locked="0"/>
    </xf>
    <xf numFmtId="164" fontId="6" fillId="3" borderId="3" xfId="0" applyNumberFormat="1" applyFont="1" applyFill="1" applyBorder="1" applyProtection="1">
      <protection locked="0"/>
    </xf>
    <xf numFmtId="0" fontId="6" fillId="2" borderId="3" xfId="0" applyFont="1" applyFill="1" applyBorder="1" applyProtection="1">
      <protection locked="0"/>
    </xf>
    <xf numFmtId="164" fontId="0" fillId="2" borderId="0" xfId="0" applyNumberFormat="1" applyFill="1" applyProtection="1">
      <protection locked="0"/>
    </xf>
    <xf numFmtId="164" fontId="6" fillId="2" borderId="3" xfId="0" applyNumberFormat="1" applyFont="1" applyFill="1" applyBorder="1" applyAlignment="1" applyProtection="1">
      <alignment horizontal="left" vertical="center"/>
      <protection locked="0"/>
    </xf>
    <xf numFmtId="164" fontId="5" fillId="2" borderId="3" xfId="0" applyNumberFormat="1" applyFont="1" applyFill="1" applyBorder="1" applyAlignment="1" applyProtection="1">
      <alignment wrapText="1"/>
      <protection locked="0"/>
    </xf>
    <xf numFmtId="164" fontId="6" fillId="3" borderId="3" xfId="0" applyNumberFormat="1" applyFont="1" applyFill="1" applyBorder="1" applyAlignment="1" applyProtection="1">
      <alignment wrapText="1"/>
      <protection locked="0"/>
    </xf>
    <xf numFmtId="164" fontId="6" fillId="2" borderId="3" xfId="0" applyNumberFormat="1" applyFont="1" applyFill="1" applyBorder="1" applyAlignment="1">
      <alignment vertical="center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164" fontId="6" fillId="2" borderId="3" xfId="0" applyNumberFormat="1" applyFont="1" applyFill="1" applyBorder="1" applyAlignment="1">
      <alignment vertical="center" wrapText="1"/>
    </xf>
    <xf numFmtId="164" fontId="6" fillId="3" borderId="3" xfId="0" applyNumberFormat="1" applyFont="1" applyFill="1" applyBorder="1" applyAlignment="1" applyProtection="1">
      <alignment horizontal="center"/>
      <protection locked="0"/>
    </xf>
    <xf numFmtId="0" fontId="6" fillId="3" borderId="3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left" vertical="center"/>
      <protection locked="0"/>
    </xf>
    <xf numFmtId="0" fontId="8" fillId="2" borderId="3" xfId="0" applyFont="1" applyFill="1" applyBorder="1" applyAlignment="1" applyProtection="1">
      <alignment vertical="center"/>
      <protection locked="0"/>
    </xf>
    <xf numFmtId="0" fontId="8" fillId="2" borderId="3" xfId="0" applyFont="1" applyFill="1" applyBorder="1" applyAlignment="1" applyProtection="1">
      <alignment horizontal="center" vertical="center"/>
      <protection locked="0"/>
    </xf>
    <xf numFmtId="164" fontId="8" fillId="2" borderId="3" xfId="0" applyNumberFormat="1" applyFont="1" applyFill="1" applyBorder="1" applyAlignment="1" applyProtection="1">
      <alignment vertical="center"/>
      <protection locked="0"/>
    </xf>
    <xf numFmtId="164" fontId="8" fillId="2" borderId="3" xfId="0" applyNumberFormat="1" applyFont="1" applyFill="1" applyBorder="1" applyAlignment="1" applyProtection="1">
      <alignment horizontal="left"/>
      <protection locked="0"/>
    </xf>
    <xf numFmtId="164" fontId="8" fillId="2" borderId="3" xfId="0" applyNumberFormat="1" applyFont="1" applyFill="1" applyBorder="1" applyAlignment="1" applyProtection="1">
      <alignment vertical="center" wrapText="1"/>
      <protection locked="0"/>
    </xf>
    <xf numFmtId="164" fontId="8" fillId="2" borderId="3" xfId="0" applyNumberFormat="1" applyFont="1" applyFill="1" applyBorder="1" applyAlignment="1" applyProtection="1">
      <alignment wrapText="1"/>
      <protection locked="0"/>
    </xf>
    <xf numFmtId="164" fontId="8" fillId="2" borderId="3" xfId="0" applyNumberFormat="1" applyFont="1" applyFill="1" applyBorder="1" applyAlignment="1" applyProtection="1">
      <alignment horizontal="center"/>
      <protection locked="0"/>
    </xf>
    <xf numFmtId="164" fontId="8" fillId="2" borderId="3" xfId="0" applyNumberFormat="1" applyFont="1" applyFill="1" applyBorder="1" applyProtection="1">
      <protection locked="0"/>
    </xf>
    <xf numFmtId="164" fontId="6" fillId="4" borderId="3" xfId="0" applyNumberFormat="1" applyFont="1" applyFill="1" applyBorder="1" applyAlignment="1" applyProtection="1">
      <alignment vertical="center" wrapText="1"/>
      <protection locked="0"/>
    </xf>
    <xf numFmtId="0" fontId="9" fillId="2" borderId="5" xfId="0" applyFont="1" applyFill="1" applyBorder="1" applyAlignment="1" applyProtection="1">
      <alignment horizontal="right"/>
      <protection locked="0"/>
    </xf>
    <xf numFmtId="0" fontId="9" fillId="2" borderId="6" xfId="0" applyFont="1" applyFill="1" applyBorder="1" applyAlignment="1" applyProtection="1">
      <alignment horizontal="right"/>
      <protection locked="0"/>
    </xf>
    <xf numFmtId="164" fontId="9" fillId="2" borderId="3" xfId="0" applyNumberFormat="1" applyFont="1" applyFill="1" applyBorder="1" applyProtection="1">
      <protection locked="0"/>
    </xf>
    <xf numFmtId="164" fontId="9" fillId="2" borderId="3" xfId="0" applyNumberFormat="1" applyFont="1" applyFill="1" applyBorder="1" applyAlignment="1" applyProtection="1">
      <alignment horizontal="right"/>
      <protection locked="0"/>
    </xf>
    <xf numFmtId="0" fontId="10" fillId="2" borderId="5" xfId="0" applyFont="1" applyFill="1" applyBorder="1" applyAlignment="1" applyProtection="1">
      <alignment horizontal="right"/>
      <protection locked="0"/>
    </xf>
    <xf numFmtId="0" fontId="10" fillId="2" borderId="6" xfId="0" applyFont="1" applyFill="1" applyBorder="1" applyAlignment="1" applyProtection="1">
      <alignment horizontal="right"/>
      <protection locked="0"/>
    </xf>
    <xf numFmtId="164" fontId="10" fillId="2" borderId="3" xfId="0" applyNumberFormat="1" applyFont="1" applyFill="1" applyBorder="1" applyAlignment="1" applyProtection="1">
      <alignment horizontal="right"/>
      <protection locked="0"/>
    </xf>
    <xf numFmtId="0" fontId="9" fillId="2" borderId="0" xfId="0" applyFont="1" applyFill="1" applyAlignment="1" applyProtection="1">
      <alignment horizontal="right"/>
      <protection locked="0"/>
    </xf>
    <xf numFmtId="164" fontId="11" fillId="2" borderId="0" xfId="0" applyNumberFormat="1" applyFont="1" applyFill="1" applyProtection="1">
      <protection locked="0"/>
    </xf>
    <xf numFmtId="164" fontId="9" fillId="2" borderId="0" xfId="0" applyNumberFormat="1" applyFont="1" applyFill="1" applyAlignment="1" applyProtection="1">
      <alignment horizontal="right"/>
      <protection locked="0"/>
    </xf>
    <xf numFmtId="164" fontId="1" fillId="2" borderId="0" xfId="0" applyNumberFormat="1" applyFont="1" applyFill="1" applyProtection="1"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6" fillId="2" borderId="0" xfId="0" applyFont="1" applyFill="1" applyProtection="1">
      <protection locked="0"/>
    </xf>
    <xf numFmtId="164" fontId="6" fillId="2" borderId="0" xfId="0" applyNumberFormat="1" applyFont="1" applyFill="1" applyProtection="1">
      <protection locked="0"/>
    </xf>
    <xf numFmtId="164" fontId="12" fillId="2" borderId="0" xfId="0" applyNumberFormat="1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left"/>
      <protection locked="0"/>
    </xf>
    <xf numFmtId="164" fontId="13" fillId="2" borderId="0" xfId="0" applyNumberFormat="1" applyFont="1" applyFill="1" applyProtection="1">
      <protection locked="0"/>
    </xf>
    <xf numFmtId="0" fontId="14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left"/>
      <protection locked="0"/>
    </xf>
    <xf numFmtId="164" fontId="1" fillId="2" borderId="0" xfId="0" applyNumberFormat="1" applyFont="1" applyFill="1" applyAlignment="1" applyProtection="1">
      <alignment horizontal="left"/>
      <protection locked="0"/>
    </xf>
    <xf numFmtId="0" fontId="0" fillId="2" borderId="0" xfId="0" applyFill="1" applyAlignment="1" applyProtection="1">
      <alignment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left"/>
      <protection locked="0"/>
    </xf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7" fillId="2" borderId="0" xfId="0" applyFont="1" applyFill="1"/>
    <xf numFmtId="0" fontId="18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wrapText="1"/>
    </xf>
    <xf numFmtId="0" fontId="19" fillId="2" borderId="2" xfId="0" applyFont="1" applyFill="1" applyBorder="1" applyAlignment="1" applyProtection="1">
      <alignment vertical="center"/>
      <protection locked="0"/>
    </xf>
    <xf numFmtId="0" fontId="19" fillId="2" borderId="2" xfId="0" applyFont="1" applyFill="1" applyBorder="1" applyAlignment="1" applyProtection="1">
      <alignment vertical="center" wrapText="1"/>
      <protection locked="0"/>
    </xf>
    <xf numFmtId="0" fontId="19" fillId="2" borderId="2" xfId="0" applyFont="1" applyFill="1" applyBorder="1" applyAlignment="1" applyProtection="1">
      <alignment horizontal="center" vertical="center" wrapText="1"/>
      <protection locked="0"/>
    </xf>
    <xf numFmtId="164" fontId="19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19" fillId="2" borderId="2" xfId="0" applyNumberFormat="1" applyFont="1" applyFill="1" applyBorder="1" applyAlignment="1" applyProtection="1">
      <alignment horizontal="left" vertical="center" wrapText="1"/>
      <protection locked="0"/>
    </xf>
    <xf numFmtId="0" fontId="19" fillId="2" borderId="2" xfId="0" applyFont="1" applyFill="1" applyBorder="1" applyAlignment="1" applyProtection="1">
      <alignment horizontal="center" vertical="center"/>
      <protection locked="0"/>
    </xf>
    <xf numFmtId="164" fontId="19" fillId="2" borderId="2" xfId="0" applyNumberFormat="1" applyFont="1" applyFill="1" applyBorder="1" applyAlignment="1" applyProtection="1">
      <alignment vertical="center" wrapText="1"/>
      <protection locked="0"/>
    </xf>
    <xf numFmtId="0" fontId="19" fillId="2" borderId="3" xfId="0" applyFont="1" applyFill="1" applyBorder="1" applyAlignment="1" applyProtection="1">
      <alignment vertical="center" wrapText="1"/>
      <protection locked="0"/>
    </xf>
    <xf numFmtId="0" fontId="19" fillId="2" borderId="2" xfId="0" applyFont="1" applyFill="1" applyBorder="1" applyAlignment="1" applyProtection="1">
      <alignment wrapText="1"/>
      <protection locked="0"/>
    </xf>
    <xf numFmtId="0" fontId="7" fillId="2" borderId="3" xfId="0" applyFont="1" applyFill="1" applyBorder="1" applyAlignment="1" applyProtection="1">
      <alignment horizontal="center" vertical="center"/>
      <protection locked="0"/>
    </xf>
    <xf numFmtId="0" fontId="7" fillId="2" borderId="3" xfId="0" applyFont="1" applyFill="1" applyBorder="1" applyAlignment="1" applyProtection="1">
      <alignment vertical="center"/>
      <protection locked="0"/>
    </xf>
    <xf numFmtId="164" fontId="7" fillId="2" borderId="3" xfId="0" applyNumberFormat="1" applyFont="1" applyFill="1" applyBorder="1" applyAlignment="1" applyProtection="1">
      <alignment vertical="center"/>
      <protection locked="0"/>
    </xf>
    <xf numFmtId="164" fontId="7" fillId="2" borderId="3" xfId="0" applyNumberFormat="1" applyFont="1" applyFill="1" applyBorder="1" applyProtection="1">
      <protection locked="0"/>
    </xf>
    <xf numFmtId="164" fontId="7" fillId="2" borderId="3" xfId="0" applyNumberFormat="1" applyFont="1" applyFill="1" applyBorder="1" applyAlignment="1" applyProtection="1">
      <alignment horizontal="left"/>
      <protection locked="0"/>
    </xf>
    <xf numFmtId="164" fontId="7" fillId="2" borderId="3" xfId="0" applyNumberFormat="1" applyFont="1" applyFill="1" applyBorder="1" applyAlignment="1">
      <alignment vertical="center" wrapText="1"/>
    </xf>
    <xf numFmtId="164" fontId="7" fillId="2" borderId="3" xfId="0" applyNumberFormat="1" applyFont="1" applyFill="1" applyBorder="1" applyAlignment="1" applyProtection="1">
      <alignment wrapText="1"/>
      <protection locked="0"/>
    </xf>
    <xf numFmtId="164" fontId="7" fillId="2" borderId="3" xfId="0" applyNumberFormat="1" applyFont="1" applyFill="1" applyBorder="1" applyAlignment="1" applyProtection="1">
      <alignment horizontal="center"/>
      <protection locked="0"/>
    </xf>
    <xf numFmtId="164" fontId="7" fillId="2" borderId="3" xfId="0" applyNumberFormat="1" applyFont="1" applyFill="1" applyBorder="1" applyAlignment="1" applyProtection="1">
      <alignment vertical="center" wrapText="1"/>
      <protection locked="0"/>
    </xf>
    <xf numFmtId="164" fontId="20" fillId="2" borderId="3" xfId="0" applyNumberFormat="1" applyFont="1" applyFill="1" applyBorder="1" applyProtection="1">
      <protection locked="0"/>
    </xf>
    <xf numFmtId="0" fontId="21" fillId="2" borderId="0" xfId="0" applyFont="1" applyFill="1"/>
    <xf numFmtId="164" fontId="22" fillId="2" borderId="3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164" fontId="16" fillId="2" borderId="0" xfId="0" applyNumberFormat="1" applyFont="1" applyFill="1" applyAlignment="1">
      <alignment vertical="center"/>
    </xf>
    <xf numFmtId="164" fontId="7" fillId="4" borderId="3" xfId="0" applyNumberFormat="1" applyFont="1" applyFill="1" applyBorder="1" applyAlignment="1" applyProtection="1">
      <alignment horizontal="center"/>
      <protection locked="0"/>
    </xf>
    <xf numFmtId="0" fontId="16" fillId="4" borderId="0" xfId="0" applyFont="1" applyFill="1" applyAlignment="1">
      <alignment vertical="center"/>
    </xf>
    <xf numFmtId="164" fontId="16" fillId="4" borderId="0" xfId="0" applyNumberFormat="1" applyFont="1" applyFill="1" applyAlignment="1">
      <alignment vertical="center"/>
    </xf>
    <xf numFmtId="0" fontId="22" fillId="2" borderId="0" xfId="0" applyFont="1" applyFill="1" applyProtection="1">
      <protection locked="0"/>
    </xf>
    <xf numFmtId="0" fontId="7" fillId="3" borderId="3" xfId="0" applyFont="1" applyFill="1" applyBorder="1" applyAlignment="1" applyProtection="1">
      <alignment vertical="center"/>
      <protection locked="0"/>
    </xf>
    <xf numFmtId="164" fontId="7" fillId="3" borderId="3" xfId="0" applyNumberFormat="1" applyFont="1" applyFill="1" applyBorder="1" applyAlignment="1" applyProtection="1">
      <alignment vertical="center" wrapText="1"/>
      <protection locked="0"/>
    </xf>
    <xf numFmtId="0" fontId="23" fillId="2" borderId="0" xfId="0" applyFont="1" applyFill="1" applyAlignment="1">
      <alignment vertical="center"/>
    </xf>
    <xf numFmtId="164" fontId="23" fillId="2" borderId="0" xfId="0" applyNumberFormat="1" applyFont="1" applyFill="1" applyAlignment="1">
      <alignment vertical="center"/>
    </xf>
    <xf numFmtId="0" fontId="24" fillId="2" borderId="0" xfId="0" applyFont="1" applyFill="1"/>
    <xf numFmtId="0" fontId="7" fillId="2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64" fontId="7" fillId="2" borderId="3" xfId="0" applyNumberFormat="1" applyFont="1" applyFill="1" applyBorder="1" applyAlignment="1">
      <alignment vertical="center"/>
    </xf>
    <xf numFmtId="164" fontId="7" fillId="2" borderId="3" xfId="0" applyNumberFormat="1" applyFont="1" applyFill="1" applyBorder="1"/>
    <xf numFmtId="164" fontId="7" fillId="2" borderId="3" xfId="0" applyNumberFormat="1" applyFont="1" applyFill="1" applyBorder="1" applyAlignment="1">
      <alignment wrapText="1"/>
    </xf>
    <xf numFmtId="164" fontId="24" fillId="2" borderId="0" xfId="0" applyNumberFormat="1" applyFont="1" applyFill="1" applyAlignment="1">
      <alignment vertical="center"/>
    </xf>
    <xf numFmtId="0" fontId="24" fillId="0" borderId="0" xfId="0" applyFont="1"/>
    <xf numFmtId="0" fontId="25" fillId="2" borderId="3" xfId="0" applyFont="1" applyFill="1" applyBorder="1" applyAlignment="1">
      <alignment vertical="center"/>
    </xf>
    <xf numFmtId="0" fontId="25" fillId="2" borderId="3" xfId="0" applyFont="1" applyFill="1" applyBorder="1" applyAlignment="1">
      <alignment horizontal="center" vertical="center"/>
    </xf>
    <xf numFmtId="164" fontId="25" fillId="2" borderId="3" xfId="0" applyNumberFormat="1" applyFont="1" applyFill="1" applyBorder="1" applyAlignment="1">
      <alignment vertical="center"/>
    </xf>
    <xf numFmtId="164" fontId="25" fillId="2" borderId="3" xfId="0" applyNumberFormat="1" applyFont="1" applyFill="1" applyBorder="1"/>
    <xf numFmtId="164" fontId="25" fillId="2" borderId="3" xfId="0" applyNumberFormat="1" applyFont="1" applyFill="1" applyBorder="1" applyAlignment="1">
      <alignment wrapText="1"/>
    </xf>
    <xf numFmtId="164" fontId="25" fillId="2" borderId="3" xfId="0" applyNumberFormat="1" applyFont="1" applyFill="1" applyBorder="1" applyAlignment="1">
      <alignment horizontal="center"/>
    </xf>
    <xf numFmtId="164" fontId="24" fillId="0" borderId="0" xfId="0" applyNumberFormat="1" applyFont="1"/>
    <xf numFmtId="0" fontId="7" fillId="5" borderId="3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164" fontId="0" fillId="0" borderId="0" xfId="0" applyNumberFormat="1"/>
    <xf numFmtId="0" fontId="0" fillId="2" borderId="0" xfId="0" applyFill="1"/>
    <xf numFmtId="0" fontId="7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164" fontId="0" fillId="2" borderId="0" xfId="0" applyNumberFormat="1" applyFill="1"/>
    <xf numFmtId="0" fontId="7" fillId="2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 applyProtection="1">
      <alignment horizontal="left" vertical="center"/>
      <protection locked="0"/>
    </xf>
    <xf numFmtId="164" fontId="22" fillId="2" borderId="0" xfId="0" applyNumberFormat="1" applyFont="1" applyFill="1" applyProtection="1">
      <protection locked="0"/>
    </xf>
    <xf numFmtId="164" fontId="11" fillId="2" borderId="3" xfId="0" applyNumberFormat="1" applyFont="1" applyFill="1" applyBorder="1" applyProtection="1">
      <protection locked="0"/>
    </xf>
    <xf numFmtId="0" fontId="16" fillId="2" borderId="0" xfId="0" applyFont="1" applyFill="1" applyAlignment="1">
      <alignment horizontal="center"/>
    </xf>
    <xf numFmtId="164" fontId="16" fillId="2" borderId="0" xfId="0" applyNumberFormat="1" applyFont="1" applyFill="1"/>
    <xf numFmtId="0" fontId="26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vertical="center"/>
    </xf>
    <xf numFmtId="164" fontId="27" fillId="2" borderId="0" xfId="0" applyNumberFormat="1" applyFont="1" applyFill="1" applyAlignment="1">
      <alignment vertical="center"/>
    </xf>
    <xf numFmtId="164" fontId="15" fillId="2" borderId="0" xfId="0" applyNumberFormat="1" applyFont="1" applyFill="1"/>
    <xf numFmtId="0" fontId="28" fillId="2" borderId="0" xfId="0" applyFont="1" applyFill="1"/>
    <xf numFmtId="0" fontId="29" fillId="2" borderId="0" xfId="0" applyFont="1" applyFill="1" applyAlignment="1">
      <alignment horizontal="center" vertical="center" wrapText="1"/>
    </xf>
    <xf numFmtId="0" fontId="29" fillId="2" borderId="0" xfId="0" applyFont="1" applyFill="1" applyAlignment="1">
      <alignment horizontal="center" wrapText="1"/>
    </xf>
    <xf numFmtId="0" fontId="30" fillId="2" borderId="0" xfId="0" applyFont="1" applyFill="1"/>
    <xf numFmtId="0" fontId="28" fillId="2" borderId="7" xfId="0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 wrapText="1"/>
    </xf>
    <xf numFmtId="164" fontId="28" fillId="2" borderId="8" xfId="0" applyNumberFormat="1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wrapText="1"/>
    </xf>
    <xf numFmtId="0" fontId="28" fillId="2" borderId="9" xfId="0" applyFont="1" applyFill="1" applyBorder="1" applyAlignment="1">
      <alignment horizontal="center" vertical="center"/>
    </xf>
    <xf numFmtId="0" fontId="28" fillId="2" borderId="10" xfId="0" applyFont="1" applyFill="1" applyBorder="1" applyAlignment="1">
      <alignment horizontal="center" vertical="center"/>
    </xf>
    <xf numFmtId="0" fontId="28" fillId="2" borderId="11" xfId="0" applyFont="1" applyFill="1" applyBorder="1" applyAlignment="1">
      <alignment horizontal="center" vertical="center" wrapText="1"/>
    </xf>
    <xf numFmtId="164" fontId="28" fillId="2" borderId="11" xfId="0" applyNumberFormat="1" applyFont="1" applyFill="1" applyBorder="1" applyAlignment="1">
      <alignment horizontal="center" vertical="center" wrapText="1"/>
    </xf>
    <xf numFmtId="0" fontId="28" fillId="2" borderId="11" xfId="0" applyFont="1" applyFill="1" applyBorder="1" applyAlignment="1">
      <alignment horizontal="center" vertical="center"/>
    </xf>
    <xf numFmtId="0" fontId="28" fillId="2" borderId="11" xfId="0" applyFont="1" applyFill="1" applyBorder="1" applyAlignment="1">
      <alignment horizontal="center" wrapText="1"/>
    </xf>
    <xf numFmtId="0" fontId="28" fillId="2" borderId="1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vertical="center"/>
    </xf>
    <xf numFmtId="0" fontId="15" fillId="2" borderId="3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center" vertical="center"/>
    </xf>
    <xf numFmtId="164" fontId="16" fillId="2" borderId="3" xfId="0" applyNumberFormat="1" applyFont="1" applyFill="1" applyBorder="1" applyAlignment="1">
      <alignment vertical="center"/>
    </xf>
    <xf numFmtId="164" fontId="16" fillId="2" borderId="3" xfId="0" applyNumberFormat="1" applyFont="1" applyFill="1" applyBorder="1" applyAlignment="1">
      <alignment horizontal="left" vertical="center"/>
    </xf>
    <xf numFmtId="164" fontId="16" fillId="2" borderId="3" xfId="0" applyNumberFormat="1" applyFont="1" applyFill="1" applyBorder="1" applyAlignment="1">
      <alignment vertical="center" wrapText="1"/>
    </xf>
    <xf numFmtId="164" fontId="15" fillId="2" borderId="3" xfId="0" applyNumberFormat="1" applyFont="1" applyFill="1" applyBorder="1" applyAlignment="1">
      <alignment vertical="center" wrapText="1"/>
    </xf>
    <xf numFmtId="164" fontId="15" fillId="2" borderId="3" xfId="0" applyNumberFormat="1" applyFont="1" applyFill="1" applyBorder="1" applyAlignment="1">
      <alignment horizontal="center" vertical="center"/>
    </xf>
    <xf numFmtId="164" fontId="15" fillId="2" borderId="3" xfId="0" applyNumberFormat="1" applyFont="1" applyFill="1" applyBorder="1" applyAlignment="1">
      <alignment vertical="center"/>
    </xf>
    <xf numFmtId="164" fontId="15" fillId="6" borderId="3" xfId="0" applyNumberFormat="1" applyFont="1" applyFill="1" applyBorder="1" applyAlignment="1">
      <alignment vertical="center"/>
    </xf>
    <xf numFmtId="164" fontId="23" fillId="2" borderId="3" xfId="0" applyNumberFormat="1" applyFont="1" applyFill="1" applyBorder="1" applyAlignment="1">
      <alignment vertical="center" wrapText="1"/>
    </xf>
    <xf numFmtId="164" fontId="15" fillId="6" borderId="3" xfId="0" applyNumberFormat="1" applyFont="1" applyFill="1" applyBorder="1" applyAlignment="1">
      <alignment vertical="center" wrapText="1"/>
    </xf>
    <xf numFmtId="0" fontId="15" fillId="3" borderId="3" xfId="0" applyFont="1" applyFill="1" applyBorder="1" applyAlignment="1">
      <alignment vertical="center"/>
    </xf>
    <xf numFmtId="164" fontId="15" fillId="3" borderId="3" xfId="0" applyNumberFormat="1" applyFont="1" applyFill="1" applyBorder="1" applyAlignment="1">
      <alignment vertical="center"/>
    </xf>
    <xf numFmtId="0" fontId="16" fillId="3" borderId="3" xfId="0" applyFont="1" applyFill="1" applyBorder="1" applyAlignment="1">
      <alignment vertical="center"/>
    </xf>
    <xf numFmtId="0" fontId="16" fillId="2" borderId="3" xfId="0" applyFont="1" applyFill="1" applyBorder="1" applyAlignment="1">
      <alignment vertical="center"/>
    </xf>
    <xf numFmtId="164" fontId="23" fillId="2" borderId="3" xfId="0" applyNumberFormat="1" applyFont="1" applyFill="1" applyBorder="1" applyAlignment="1">
      <alignment vertical="center"/>
    </xf>
    <xf numFmtId="164" fontId="16" fillId="3" borderId="3" xfId="0" applyNumberFormat="1" applyFont="1" applyFill="1" applyBorder="1" applyAlignment="1">
      <alignment vertical="center"/>
    </xf>
    <xf numFmtId="164" fontId="16" fillId="2" borderId="3" xfId="0" applyNumberFormat="1" applyFont="1" applyFill="1" applyBorder="1" applyAlignment="1">
      <alignment horizontal="center" vertical="center"/>
    </xf>
    <xf numFmtId="164" fontId="23" fillId="2" borderId="3" xfId="0" applyNumberFormat="1" applyFont="1" applyFill="1" applyBorder="1" applyAlignment="1">
      <alignment horizontal="center" vertical="center"/>
    </xf>
    <xf numFmtId="0" fontId="31" fillId="2" borderId="0" xfId="0" applyFont="1" applyFill="1"/>
    <xf numFmtId="164" fontId="15" fillId="2" borderId="3" xfId="0" applyNumberFormat="1" applyFont="1" applyFill="1" applyBorder="1" applyAlignment="1">
      <alignment horizontal="left"/>
    </xf>
    <xf numFmtId="164" fontId="15" fillId="2" borderId="3" xfId="0" applyNumberFormat="1" applyFont="1" applyFill="1" applyBorder="1" applyAlignment="1">
      <alignment wrapText="1"/>
    </xf>
    <xf numFmtId="164" fontId="15" fillId="2" borderId="3" xfId="0" applyNumberFormat="1" applyFont="1" applyFill="1" applyBorder="1" applyAlignment="1">
      <alignment horizontal="center"/>
    </xf>
    <xf numFmtId="164" fontId="15" fillId="2" borderId="3" xfId="0" applyNumberFormat="1" applyFont="1" applyFill="1" applyBorder="1"/>
    <xf numFmtId="164" fontId="15" fillId="3" borderId="3" xfId="0" applyNumberFormat="1" applyFont="1" applyFill="1" applyBorder="1" applyAlignment="1">
      <alignment horizontal="left"/>
    </xf>
    <xf numFmtId="0" fontId="30" fillId="2" borderId="0" xfId="0" applyFont="1" applyFill="1" applyAlignment="1">
      <alignment vertical="center"/>
    </xf>
    <xf numFmtId="0" fontId="28" fillId="2" borderId="3" xfId="0" applyFont="1" applyFill="1" applyBorder="1" applyAlignment="1">
      <alignment horizontal="center" vertical="center"/>
    </xf>
    <xf numFmtId="164" fontId="28" fillId="2" borderId="3" xfId="0" applyNumberFormat="1" applyFont="1" applyFill="1" applyBorder="1" applyAlignment="1">
      <alignment horizontal="right" vertical="center"/>
    </xf>
    <xf numFmtId="164" fontId="15" fillId="2" borderId="0" xfId="0" applyNumberFormat="1" applyFont="1" applyFill="1" applyAlignment="1">
      <alignment wrapText="1"/>
    </xf>
    <xf numFmtId="164" fontId="15" fillId="2" borderId="0" xfId="0" applyNumberFormat="1" applyFont="1" applyFill="1" applyAlignment="1">
      <alignment horizontal="center"/>
    </xf>
    <xf numFmtId="0" fontId="32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vertical="center"/>
    </xf>
    <xf numFmtId="164" fontId="33" fillId="2" borderId="0" xfId="0" applyNumberFormat="1" applyFont="1" applyFill="1" applyAlignment="1">
      <alignment vertical="center"/>
    </xf>
    <xf numFmtId="0" fontId="28" fillId="2" borderId="0" xfId="0" applyFont="1" applyFill="1" applyAlignment="1">
      <alignment horizontal="center"/>
    </xf>
    <xf numFmtId="0" fontId="34" fillId="2" borderId="0" xfId="0" applyFont="1" applyFill="1" applyAlignment="1">
      <alignment horizontal="center" wrapText="1"/>
    </xf>
    <xf numFmtId="0" fontId="3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5" fillId="2" borderId="2" xfId="0" applyFont="1" applyFill="1" applyBorder="1" applyAlignment="1">
      <alignment vertical="center"/>
    </xf>
    <xf numFmtId="0" fontId="35" fillId="2" borderId="2" xfId="0" applyFont="1" applyFill="1" applyBorder="1" applyAlignment="1">
      <alignment vertical="center" wrapText="1"/>
    </xf>
    <xf numFmtId="0" fontId="35" fillId="2" borderId="2" xfId="0" applyFont="1" applyFill="1" applyBorder="1" applyAlignment="1">
      <alignment horizontal="center" vertical="center" wrapText="1"/>
    </xf>
    <xf numFmtId="164" fontId="35" fillId="2" borderId="2" xfId="0" applyNumberFormat="1" applyFont="1" applyFill="1" applyBorder="1" applyAlignment="1">
      <alignment horizontal="center" vertical="center" wrapText="1"/>
    </xf>
    <xf numFmtId="0" fontId="35" fillId="2" borderId="2" xfId="0" applyFont="1" applyFill="1" applyBorder="1" applyAlignment="1">
      <alignment horizontal="center" vertical="center"/>
    </xf>
    <xf numFmtId="164" fontId="35" fillId="2" borderId="2" xfId="0" applyNumberFormat="1" applyFont="1" applyFill="1" applyBorder="1" applyAlignment="1">
      <alignment vertical="center" wrapText="1"/>
    </xf>
    <xf numFmtId="0" fontId="35" fillId="2" borderId="3" xfId="0" applyFont="1" applyFill="1" applyBorder="1" applyAlignment="1">
      <alignment vertical="center" wrapText="1"/>
    </xf>
    <xf numFmtId="0" fontId="36" fillId="2" borderId="0" xfId="0" applyFont="1" applyFill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164" fontId="6" fillId="2" borderId="2" xfId="0" applyNumberFormat="1" applyFont="1" applyFill="1" applyBorder="1" applyAlignment="1">
      <alignment horizontal="center" vertical="center" wrapText="1"/>
    </xf>
    <xf numFmtId="164" fontId="6" fillId="2" borderId="3" xfId="0" applyNumberFormat="1" applyFont="1" applyFill="1" applyBorder="1"/>
    <xf numFmtId="164" fontId="6" fillId="2" borderId="3" xfId="0" applyNumberFormat="1" applyFont="1" applyFill="1" applyBorder="1" applyAlignment="1">
      <alignment wrapText="1"/>
    </xf>
    <xf numFmtId="164" fontId="6" fillId="2" borderId="3" xfId="0" applyNumberFormat="1" applyFont="1" applyFill="1" applyBorder="1" applyAlignment="1">
      <alignment horizontal="center"/>
    </xf>
    <xf numFmtId="2" fontId="37" fillId="2" borderId="2" xfId="0" applyNumberFormat="1" applyFont="1" applyFill="1" applyBorder="1" applyAlignment="1">
      <alignment horizontal="center" vertical="center"/>
    </xf>
    <xf numFmtId="164" fontId="36" fillId="2" borderId="0" xfId="0" applyNumberFormat="1" applyFont="1" applyFill="1" applyAlignment="1">
      <alignment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/>
    </xf>
    <xf numFmtId="164" fontId="8" fillId="2" borderId="3" xfId="0" applyNumberFormat="1" applyFont="1" applyFill="1" applyBorder="1" applyAlignment="1">
      <alignment wrapText="1"/>
    </xf>
    <xf numFmtId="2" fontId="8" fillId="2" borderId="3" xfId="0" applyNumberFormat="1" applyFont="1" applyFill="1" applyBorder="1" applyAlignment="1">
      <alignment horizontal="center"/>
    </xf>
    <xf numFmtId="164" fontId="0" fillId="2" borderId="0" xfId="0" applyNumberFormat="1" applyFill="1" applyAlignment="1">
      <alignment vertical="center"/>
    </xf>
    <xf numFmtId="0" fontId="8" fillId="2" borderId="3" xfId="0" applyFont="1" applyFill="1" applyBorder="1" applyAlignment="1">
      <alignment vertical="center"/>
    </xf>
    <xf numFmtId="164" fontId="8" fillId="2" borderId="3" xfId="0" applyNumberFormat="1" applyFont="1" applyFill="1" applyBorder="1" applyAlignment="1">
      <alignment vertical="center"/>
    </xf>
    <xf numFmtId="164" fontId="8" fillId="2" borderId="3" xfId="0" applyNumberFormat="1" applyFont="1" applyFill="1" applyBorder="1"/>
    <xf numFmtId="164" fontId="8" fillId="2" borderId="3" xfId="0" applyNumberFormat="1" applyFont="1" applyFill="1" applyBorder="1" applyAlignment="1">
      <alignment vertical="center" wrapText="1"/>
    </xf>
    <xf numFmtId="164" fontId="8" fillId="2" borderId="3" xfId="0" applyNumberFormat="1" applyFont="1" applyFill="1" applyBorder="1" applyAlignment="1">
      <alignment horizontal="center"/>
    </xf>
    <xf numFmtId="0" fontId="38" fillId="2" borderId="3" xfId="0" applyFont="1" applyFill="1" applyBorder="1" applyAlignment="1">
      <alignment horizontal="right"/>
    </xf>
    <xf numFmtId="164" fontId="11" fillId="2" borderId="3" xfId="0" applyNumberFormat="1" applyFont="1" applyFill="1" applyBorder="1"/>
    <xf numFmtId="0" fontId="39" fillId="2" borderId="0" xfId="0" applyFont="1" applyFill="1" applyAlignment="1">
      <alignment vertical="center"/>
    </xf>
    <xf numFmtId="0" fontId="39" fillId="2" borderId="0" xfId="0" applyFont="1" applyFill="1"/>
    <xf numFmtId="0" fontId="39" fillId="2" borderId="0" xfId="0" applyFont="1" applyFill="1" applyAlignment="1">
      <alignment horizontal="center"/>
    </xf>
    <xf numFmtId="164" fontId="39" fillId="2" borderId="0" xfId="0" applyNumberFormat="1" applyFont="1" applyFill="1"/>
    <xf numFmtId="0" fontId="40" fillId="2" borderId="0" xfId="0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8" fillId="2" borderId="0" xfId="0" applyFont="1" applyFill="1"/>
    <xf numFmtId="164" fontId="8" fillId="2" borderId="0" xfId="0" applyNumberFormat="1" applyFont="1" applyFill="1"/>
    <xf numFmtId="164" fontId="41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8" fillId="2" borderId="0" xfId="0" applyFont="1" applyFill="1" applyAlignment="1">
      <alignment horizontal="center"/>
    </xf>
    <xf numFmtId="0" fontId="35" fillId="2" borderId="0" xfId="0" applyFont="1" applyFill="1"/>
    <xf numFmtId="164" fontId="42" fillId="2" borderId="0" xfId="0" applyNumberFormat="1" applyFont="1" applyFill="1"/>
    <xf numFmtId="0" fontId="34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40" fillId="2" borderId="1" xfId="0" applyFont="1" applyFill="1" applyBorder="1" applyAlignment="1">
      <alignment horizontal="center" wrapText="1"/>
    </xf>
    <xf numFmtId="0" fontId="35" fillId="0" borderId="2" xfId="0" applyFont="1" applyBorder="1" applyAlignment="1">
      <alignment vertical="center" wrapText="1"/>
    </xf>
    <xf numFmtId="0" fontId="35" fillId="0" borderId="2" xfId="0" applyFont="1" applyBorder="1" applyAlignment="1">
      <alignment horizontal="center" vertical="center" wrapText="1"/>
    </xf>
    <xf numFmtId="164" fontId="35" fillId="0" borderId="2" xfId="0" applyNumberFormat="1" applyFont="1" applyBorder="1" applyAlignment="1">
      <alignment horizontal="center" vertical="center" wrapText="1"/>
    </xf>
    <xf numFmtId="164" fontId="35" fillId="0" borderId="2" xfId="0" applyNumberFormat="1" applyFont="1" applyBorder="1" applyAlignment="1">
      <alignment vertical="center" wrapText="1"/>
    </xf>
    <xf numFmtId="0" fontId="35" fillId="0" borderId="2" xfId="0" applyFont="1" applyBorder="1" applyAlignment="1">
      <alignment vertical="center"/>
    </xf>
    <xf numFmtId="164" fontId="35" fillId="2" borderId="2" xfId="0" applyNumberFormat="1" applyFont="1" applyFill="1" applyBorder="1" applyAlignment="1">
      <alignment wrapText="1"/>
    </xf>
    <xf numFmtId="0" fontId="35" fillId="0" borderId="3" xfId="0" applyFont="1" applyBorder="1" applyAlignment="1">
      <alignment vertical="center" wrapText="1"/>
    </xf>
    <xf numFmtId="0" fontId="13" fillId="0" borderId="0" xfId="0" applyFont="1"/>
    <xf numFmtId="164" fontId="13" fillId="0" borderId="0" xfId="0" applyNumberFormat="1" applyFont="1"/>
    <xf numFmtId="164" fontId="8" fillId="2" borderId="3" xfId="0" applyNumberFormat="1" applyFont="1" applyFill="1" applyBorder="1" applyAlignment="1">
      <alignment horizontal="left"/>
    </xf>
    <xf numFmtId="0" fontId="38" fillId="2" borderId="0" xfId="0" applyFont="1" applyFill="1" applyAlignment="1">
      <alignment horizontal="right"/>
    </xf>
    <xf numFmtId="164" fontId="11" fillId="2" borderId="0" xfId="0" applyNumberFormat="1" applyFont="1" applyFill="1"/>
    <xf numFmtId="0" fontId="43" fillId="2" borderId="0" xfId="0" applyFont="1" applyFill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164" fontId="8" fillId="2" borderId="0" xfId="0" applyNumberFormat="1" applyFont="1" applyFill="1" applyAlignment="1">
      <alignment vertical="center"/>
    </xf>
    <xf numFmtId="164" fontId="6" fillId="2" borderId="0" xfId="0" applyNumberFormat="1" applyFont="1" applyFill="1"/>
    <xf numFmtId="164" fontId="8" fillId="2" borderId="0" xfId="0" applyNumberFormat="1" applyFont="1" applyFill="1" applyAlignment="1">
      <alignment vertical="center" wrapText="1"/>
    </xf>
    <xf numFmtId="164" fontId="8" fillId="2" borderId="0" xfId="0" applyNumberFormat="1" applyFont="1" applyFill="1" applyAlignment="1">
      <alignment wrapText="1"/>
    </xf>
    <xf numFmtId="164" fontId="8" fillId="2" borderId="0" xfId="0" applyNumberFormat="1" applyFont="1" applyFill="1" applyAlignment="1">
      <alignment horizontal="center"/>
    </xf>
    <xf numFmtId="0" fontId="35" fillId="2" borderId="2" xfId="0" applyFont="1" applyFill="1" applyBorder="1" applyAlignment="1">
      <alignment wrapText="1"/>
    </xf>
    <xf numFmtId="0" fontId="8" fillId="2" borderId="6" xfId="0" applyFont="1" applyFill="1" applyBorder="1" applyAlignment="1">
      <alignment horizontal="center" vertical="center"/>
    </xf>
    <xf numFmtId="0" fontId="38" fillId="2" borderId="13" xfId="0" applyFont="1" applyFill="1" applyBorder="1" applyAlignment="1">
      <alignment horizontal="right" vertical="center"/>
    </xf>
    <xf numFmtId="0" fontId="38" fillId="2" borderId="5" xfId="0" applyFont="1" applyFill="1" applyBorder="1" applyAlignment="1">
      <alignment horizontal="right" vertical="center"/>
    </xf>
    <xf numFmtId="0" fontId="38" fillId="2" borderId="6" xfId="0" applyFont="1" applyFill="1" applyBorder="1" applyAlignment="1">
      <alignment horizontal="right" vertical="center"/>
    </xf>
    <xf numFmtId="164" fontId="11" fillId="2" borderId="3" xfId="0" applyNumberFormat="1" applyFont="1" applyFill="1" applyBorder="1" applyAlignment="1">
      <alignment vertical="center"/>
    </xf>
    <xf numFmtId="0" fontId="38" fillId="2" borderId="0" xfId="0" applyFont="1" applyFill="1" applyAlignment="1">
      <alignment horizontal="right" vertical="center"/>
    </xf>
    <xf numFmtId="164" fontId="11" fillId="2" borderId="0" xfId="0" applyNumberFormat="1" applyFont="1" applyFill="1" applyAlignment="1">
      <alignment vertical="center"/>
    </xf>
    <xf numFmtId="0" fontId="0" fillId="2" borderId="0" xfId="0" applyFill="1" applyAlignment="1">
      <alignment horizontal="left"/>
    </xf>
    <xf numFmtId="0" fontId="35" fillId="2" borderId="2" xfId="0" applyFont="1" applyFill="1" applyBorder="1" applyAlignment="1">
      <alignment horizontal="left" vertical="center" wrapText="1"/>
    </xf>
    <xf numFmtId="0" fontId="38" fillId="2" borderId="0" xfId="0" applyFont="1" applyFill="1" applyAlignment="1">
      <alignment horizontal="left" vertical="center"/>
    </xf>
    <xf numFmtId="0" fontId="39" fillId="2" borderId="0" xfId="0" applyFont="1" applyFill="1" applyAlignment="1">
      <alignment horizontal="left"/>
    </xf>
    <xf numFmtId="0" fontId="40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0" fillId="2" borderId="0" xfId="0" applyFill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164" fontId="6" fillId="3" borderId="3" xfId="0" applyNumberFormat="1" applyFont="1" applyFill="1" applyBorder="1"/>
    <xf numFmtId="0" fontId="35" fillId="2" borderId="3" xfId="0" applyFont="1" applyFill="1" applyBorder="1" applyAlignment="1">
      <alignment horizontal="right"/>
    </xf>
    <xf numFmtId="164" fontId="5" fillId="2" borderId="3" xfId="0" applyNumberFormat="1" applyFont="1" applyFill="1" applyBorder="1"/>
    <xf numFmtId="0" fontId="34" fillId="2" borderId="0" xfId="0" applyFont="1" applyFill="1" applyAlignment="1" applyProtection="1">
      <alignment horizontal="center" vertical="center" wrapText="1"/>
      <protection locked="0"/>
    </xf>
    <xf numFmtId="0" fontId="34" fillId="2" borderId="0" xfId="0" applyFont="1" applyFill="1" applyAlignment="1" applyProtection="1">
      <alignment horizontal="center" wrapText="1"/>
      <protection locked="0"/>
    </xf>
    <xf numFmtId="0" fontId="40" fillId="2" borderId="1" xfId="0" applyFont="1" applyFill="1" applyBorder="1" applyAlignment="1" applyProtection="1">
      <alignment horizontal="center" wrapText="1"/>
      <protection locked="0"/>
    </xf>
    <xf numFmtId="0" fontId="35" fillId="2" borderId="3" xfId="0" applyFont="1" applyFill="1" applyBorder="1" applyAlignment="1" applyProtection="1">
      <alignment vertical="center"/>
      <protection locked="0"/>
    </xf>
    <xf numFmtId="0" fontId="35" fillId="2" borderId="3" xfId="0" applyFont="1" applyFill="1" applyBorder="1" applyAlignment="1" applyProtection="1">
      <alignment vertical="center" wrapText="1"/>
      <protection locked="0"/>
    </xf>
    <xf numFmtId="0" fontId="35" fillId="2" borderId="3" xfId="0" applyFont="1" applyFill="1" applyBorder="1" applyAlignment="1" applyProtection="1">
      <alignment horizontal="center" vertical="center" wrapText="1"/>
      <protection locked="0"/>
    </xf>
    <xf numFmtId="0" fontId="35" fillId="2" borderId="2" xfId="0" applyFont="1" applyFill="1" applyBorder="1" applyAlignment="1" applyProtection="1">
      <alignment horizontal="center" vertical="center" wrapText="1"/>
      <protection locked="0"/>
    </xf>
    <xf numFmtId="164" fontId="35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35" fillId="2" borderId="2" xfId="0" applyNumberFormat="1" applyFont="1" applyFill="1" applyBorder="1" applyAlignment="1" applyProtection="1">
      <alignment vertical="center" wrapText="1"/>
      <protection locked="0"/>
    </xf>
    <xf numFmtId="0" fontId="35" fillId="2" borderId="2" xfId="0" applyFont="1" applyFill="1" applyBorder="1" applyAlignment="1" applyProtection="1">
      <alignment vertical="center"/>
      <protection locked="0"/>
    </xf>
    <xf numFmtId="0" fontId="35" fillId="2" borderId="2" xfId="0" applyFont="1" applyFill="1" applyBorder="1" applyAlignment="1" applyProtection="1">
      <alignment vertical="center" wrapText="1"/>
      <protection locked="0"/>
    </xf>
    <xf numFmtId="0" fontId="35" fillId="2" borderId="2" xfId="0" applyFont="1" applyFill="1" applyBorder="1" applyAlignment="1" applyProtection="1">
      <alignment wrapText="1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left" vertical="center"/>
      <protection locked="0"/>
    </xf>
    <xf numFmtId="0" fontId="44" fillId="2" borderId="3" xfId="0" applyFont="1" applyFill="1" applyBorder="1" applyAlignment="1" applyProtection="1">
      <alignment horizontal="center" vertical="center"/>
      <protection locked="0"/>
    </xf>
    <xf numFmtId="0" fontId="8" fillId="3" borderId="3" xfId="0" applyFont="1" applyFill="1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vertical="center"/>
      <protection locked="0"/>
    </xf>
    <xf numFmtId="0" fontId="13" fillId="2" borderId="0" xfId="0" applyFont="1" applyFill="1" applyProtection="1">
      <protection locked="0"/>
    </xf>
    <xf numFmtId="0" fontId="38" fillId="2" borderId="3" xfId="0" applyFont="1" applyFill="1" applyBorder="1" applyAlignment="1" applyProtection="1">
      <alignment horizontal="right"/>
      <protection locked="0"/>
    </xf>
    <xf numFmtId="0" fontId="38" fillId="2" borderId="0" xfId="0" applyFont="1" applyFill="1" applyAlignment="1" applyProtection="1">
      <alignment horizontal="right"/>
      <protection locked="0"/>
    </xf>
    <xf numFmtId="164" fontId="8" fillId="2" borderId="0" xfId="0" applyNumberFormat="1" applyFont="1" applyFill="1" applyProtection="1">
      <protection locked="0"/>
    </xf>
    <xf numFmtId="0" fontId="39" fillId="2" borderId="0" xfId="0" applyFont="1" applyFill="1" applyAlignment="1" applyProtection="1">
      <alignment vertical="center"/>
      <protection locked="0"/>
    </xf>
    <xf numFmtId="0" fontId="39" fillId="2" borderId="0" xfId="0" applyFont="1" applyFill="1" applyProtection="1">
      <protection locked="0"/>
    </xf>
    <xf numFmtId="0" fontId="39" fillId="2" borderId="0" xfId="0" applyFont="1" applyFill="1" applyAlignment="1" applyProtection="1">
      <alignment horizontal="center"/>
      <protection locked="0"/>
    </xf>
    <xf numFmtId="164" fontId="39" fillId="2" borderId="0" xfId="0" applyNumberFormat="1" applyFont="1" applyFill="1" applyProtection="1">
      <protection locked="0"/>
    </xf>
    <xf numFmtId="0" fontId="40" fillId="2" borderId="0" xfId="0" applyFont="1" applyFill="1" applyAlignment="1" applyProtection="1">
      <alignment horizontal="center" vertical="center"/>
      <protection locked="0"/>
    </xf>
    <xf numFmtId="0" fontId="41" fillId="2" borderId="0" xfId="0" applyFont="1" applyFill="1" applyAlignment="1" applyProtection="1">
      <alignment horizontal="center" vertical="center"/>
      <protection locked="0"/>
    </xf>
    <xf numFmtId="0" fontId="8" fillId="2" borderId="0" xfId="0" applyFont="1" applyFill="1" applyProtection="1">
      <protection locked="0"/>
    </xf>
    <xf numFmtId="164" fontId="41" fillId="2" borderId="0" xfId="0" applyNumberFormat="1" applyFont="1" applyFill="1" applyAlignment="1" applyProtection="1">
      <alignment vertical="center"/>
      <protection locked="0"/>
    </xf>
    <xf numFmtId="0" fontId="35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35" fillId="2" borderId="0" xfId="0" applyFont="1" applyFill="1" applyProtection="1">
      <protection locked="0"/>
    </xf>
    <xf numFmtId="164" fontId="42" fillId="2" borderId="0" xfId="0" applyNumberFormat="1" applyFont="1" applyFill="1" applyProtection="1">
      <protection locked="0"/>
    </xf>
    <xf numFmtId="0" fontId="43" fillId="2" borderId="0" xfId="0" applyFont="1" applyFill="1" applyAlignment="1" applyProtection="1">
      <alignment horizontal="center"/>
      <protection locked="0"/>
    </xf>
    <xf numFmtId="164" fontId="8" fillId="3" borderId="3" xfId="0" applyNumberFormat="1" applyFont="1" applyFill="1" applyBorder="1" applyProtection="1">
      <protection locked="0"/>
    </xf>
    <xf numFmtId="164" fontId="37" fillId="2" borderId="3" xfId="0" applyNumberFormat="1" applyFont="1" applyFill="1" applyBorder="1" applyAlignment="1" applyProtection="1">
      <alignment wrapText="1"/>
      <protection locked="0"/>
    </xf>
    <xf numFmtId="164" fontId="37" fillId="2" borderId="3" xfId="0" applyNumberFormat="1" applyFont="1" applyFill="1" applyBorder="1" applyAlignment="1" applyProtection="1">
      <alignment vertical="center" wrapText="1"/>
      <protection locked="0"/>
    </xf>
    <xf numFmtId="164" fontId="37" fillId="2" borderId="3" xfId="0" applyNumberFormat="1" applyFont="1" applyFill="1" applyBorder="1" applyProtection="1">
      <protection locked="0"/>
    </xf>
    <xf numFmtId="164" fontId="8" fillId="7" borderId="3" xfId="0" applyNumberFormat="1" applyFont="1" applyFill="1" applyBorder="1" applyAlignment="1" applyProtection="1">
      <alignment vertical="center"/>
      <protection locked="0"/>
    </xf>
    <xf numFmtId="0" fontId="25" fillId="2" borderId="0" xfId="0" applyFont="1" applyFill="1" applyProtection="1">
      <protection locked="0"/>
    </xf>
    <xf numFmtId="0" fontId="0" fillId="0" borderId="0" xfId="0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45" fillId="0" borderId="17" xfId="0" applyFont="1" applyBorder="1" applyAlignment="1">
      <alignment horizontal="center" vertical="center"/>
    </xf>
    <xf numFmtId="165" fontId="46" fillId="0" borderId="18" xfId="0" applyNumberFormat="1" applyFont="1" applyBorder="1" applyAlignment="1">
      <alignment vertical="center"/>
    </xf>
    <xf numFmtId="165" fontId="46" fillId="0" borderId="16" xfId="0" applyNumberFormat="1" applyFont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0" fontId="46" fillId="0" borderId="16" xfId="0" applyFont="1" applyBorder="1" applyAlignment="1">
      <alignment horizontal="center" vertical="center"/>
    </xf>
    <xf numFmtId="0" fontId="47" fillId="2" borderId="4" xfId="0" applyFont="1" applyFill="1" applyBorder="1" applyAlignment="1">
      <alignment horizontal="center"/>
    </xf>
    <xf numFmtId="0" fontId="47" fillId="4" borderId="3" xfId="0" applyFont="1" applyFill="1" applyBorder="1" applyAlignment="1">
      <alignment horizontal="center" vertical="center" wrapText="1" readingOrder="1"/>
    </xf>
    <xf numFmtId="0" fontId="47" fillId="3" borderId="3" xfId="0" applyFont="1" applyFill="1" applyBorder="1" applyAlignment="1">
      <alignment horizontal="center" wrapText="1" readingOrder="1"/>
    </xf>
    <xf numFmtId="0" fontId="47" fillId="2" borderId="4" xfId="0" applyFont="1" applyFill="1" applyBorder="1" applyAlignment="1">
      <alignment horizontal="center" vertical="center"/>
    </xf>
    <xf numFmtId="3" fontId="47" fillId="8" borderId="3" xfId="0" applyNumberFormat="1" applyFont="1" applyFill="1" applyBorder="1" applyAlignment="1">
      <alignment horizontal="center" wrapText="1" readingOrder="1"/>
    </xf>
    <xf numFmtId="3" fontId="47" fillId="2" borderId="3" xfId="0" applyNumberFormat="1" applyFont="1" applyFill="1" applyBorder="1" applyAlignment="1">
      <alignment horizontal="center" wrapText="1" readingOrder="1"/>
    </xf>
    <xf numFmtId="9" fontId="46" fillId="2" borderId="4" xfId="0" applyNumberFormat="1" applyFont="1" applyFill="1" applyBorder="1" applyAlignment="1">
      <alignment horizontal="center"/>
    </xf>
    <xf numFmtId="9" fontId="30" fillId="2" borderId="4" xfId="0" applyNumberFormat="1" applyFont="1" applyFill="1" applyBorder="1" applyAlignment="1">
      <alignment horizontal="center"/>
    </xf>
    <xf numFmtId="164" fontId="46" fillId="2" borderId="4" xfId="0" applyNumberFormat="1" applyFont="1" applyFill="1" applyBorder="1"/>
    <xf numFmtId="0" fontId="47" fillId="2" borderId="3" xfId="0" applyFont="1" applyFill="1" applyBorder="1" applyAlignment="1">
      <alignment horizontal="center"/>
    </xf>
    <xf numFmtId="0" fontId="47" fillId="9" borderId="3" xfId="0" applyFont="1" applyFill="1" applyBorder="1" applyAlignment="1">
      <alignment horizontal="center" vertical="center" wrapText="1" readingOrder="1"/>
    </xf>
    <xf numFmtId="164" fontId="46" fillId="0" borderId="3" xfId="0" applyNumberFormat="1" applyFont="1" applyBorder="1"/>
    <xf numFmtId="0" fontId="47" fillId="4" borderId="3" xfId="0" applyFont="1" applyFill="1" applyBorder="1" applyAlignment="1">
      <alignment horizontal="center" wrapText="1" readingOrder="1"/>
    </xf>
    <xf numFmtId="0" fontId="1" fillId="0" borderId="0" xfId="0" applyFont="1" applyAlignment="1">
      <alignment horizontal="center"/>
    </xf>
    <xf numFmtId="0" fontId="1" fillId="0" borderId="0" xfId="0" applyFont="1"/>
    <xf numFmtId="0" fontId="19" fillId="0" borderId="0" xfId="0" applyFont="1" applyAlignment="1">
      <alignment horizontal="center"/>
    </xf>
    <xf numFmtId="0" fontId="14" fillId="0" borderId="3" xfId="0" applyFont="1" applyBorder="1" applyAlignment="1">
      <alignment horizontal="center" wrapText="1"/>
    </xf>
    <xf numFmtId="0" fontId="14" fillId="0" borderId="3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164" fontId="48" fillId="0" borderId="3" xfId="0" applyNumberFormat="1" applyFont="1" applyBorder="1"/>
    <xf numFmtId="164" fontId="1" fillId="0" borderId="3" xfId="0" applyNumberFormat="1" applyFont="1" applyBorder="1"/>
    <xf numFmtId="0" fontId="14" fillId="0" borderId="3" xfId="0" applyFont="1" applyBorder="1" applyAlignment="1">
      <alignment horizontal="center"/>
    </xf>
    <xf numFmtId="164" fontId="14" fillId="0" borderId="3" xfId="0" applyNumberFormat="1" applyFont="1" applyBorder="1" applyAlignment="1">
      <alignment horizontal="center"/>
    </xf>
    <xf numFmtId="164" fontId="1" fillId="0" borderId="0" xfId="0" applyNumberFormat="1" applyFont="1"/>
  </cellXfs>
  <cellStyles count="1">
    <cellStyle name="Normal" xfId="0" builtinId="0"/>
  </cellStyles>
  <dxfs count="6">
    <dxf>
      <fill>
        <patternFill>
          <bgColor theme="2" tint="-0.249946592608417"/>
        </patternFill>
      </fill>
      <font>
        <color theme="1"/>
      </font>
    </dxf>
    <dxf>
      <font>
        <color rgb="FF00B050"/>
      </font>
    </dxf>
    <dxf>
      <font>
        <color theme="1"/>
      </font>
    </dxf>
    <dxf>
      <font>
        <color rgb="FFFFC000"/>
      </font>
    </dxf>
    <dxf>
      <font>
        <color rgb="FFEE000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16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5.xml"/><Relationship Id="rId12" Type="http://schemas.openxmlformats.org/officeDocument/2006/relationships/worksheet" Target="worksheets/sheet3.xml"/><Relationship Id="rId13" Type="http://schemas.openxmlformats.org/officeDocument/2006/relationships/worksheet" Target="worksheets/sheet2.xml"/><Relationship Id="rId14" Type="http://schemas.openxmlformats.org/officeDocument/2006/relationships/worksheet" Target="worksheets/sheet7.xml"/><Relationship Id="rId15" Type="http://schemas.openxmlformats.org/officeDocument/2006/relationships/worksheet" Target="worksheets/sheet8.xml"/><Relationship Id="rId16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"/>
  <sheetViews>
    <sheetView workbookViewId="0" zoomScale="42" zoomScaleNormal="85">
      <pane ySplit="5" topLeftCell="A6" activePane="bottomLeft" state="frozen"/>
      <selection pane="bottomLeft" activeCell="H13" sqref="H13"/>
    </sheetView>
  </sheetViews>
  <sheetFormatPr defaultRowHeight="14.4" outlineLevelRow="0" outlineLevelCol="0" x14ac:dyDescent="0.3" defaultColWidth="8.88671875" customHeight="1"/>
  <cols>
    <col min="1" max="1" width="8" style="1" customWidth="1"/>
    <col min="2" max="2" width="36.109375" style="2" customWidth="1"/>
    <col min="3" max="3" width="26.44140625" style="2" customWidth="1"/>
    <col min="4" max="4" width="20.6640625" style="3" customWidth="1"/>
    <col min="5" max="5" width="17.44140625" style="3" customWidth="1"/>
    <col min="6" max="6" width="28.88671875" style="2" customWidth="1"/>
    <col min="7" max="7" width="31.88671875" style="2" customWidth="1"/>
    <col min="8" max="8" width="25.33203125" style="4" customWidth="1"/>
    <col min="9" max="9" width="26.33203125" style="2" customWidth="1"/>
    <col min="10" max="10" width="26.6640625" style="2" customWidth="1"/>
    <col min="11" max="11" width="30.6640625" style="2" customWidth="1"/>
    <col min="12" max="12" width="27.6640625" style="2" customWidth="1"/>
    <col min="13" max="13" width="26.33203125" style="2" customWidth="1"/>
    <col min="14" max="14" width="26.109375" style="2" customWidth="1"/>
    <col min="15" max="15" width="22.6640625" style="2" customWidth="1"/>
    <col min="16" max="16" width="25.6640625" style="2" customWidth="1"/>
    <col min="17" max="17" width="25.33203125" style="2" customWidth="1"/>
    <col min="18" max="18" width="28.44140625" style="2" customWidth="1"/>
    <col min="19" max="19" width="21.88671875" style="2" customWidth="1"/>
    <col min="20" max="20" width="16" style="5" customWidth="1"/>
    <col min="21" max="21" width="10.6640625" style="5" customWidth="1"/>
    <col min="22" max="16384" width="8.88671875" style="5" customWidth="1"/>
  </cols>
  <sheetData>
    <row r="1" ht="51" customHeight="1" spans="1:20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5"/>
    </row>
    <row r="2" ht="34.8" customHeight="1" spans="1:20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5"/>
    </row>
    <row r="3" ht="34.8" customHeight="1" spans="1:20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5"/>
    </row>
    <row r="4" ht="8.4" customHeight="1" spans="1:20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5"/>
    </row>
    <row r="5" ht="70.2" customHeight="1" spans="1:20" s="9" customFormat="1" x14ac:dyDescent="0.25">
      <c r="A5" s="10" t="s">
        <v>3</v>
      </c>
      <c r="B5" s="11" t="s">
        <v>4</v>
      </c>
      <c r="C5" s="11" t="s">
        <v>5</v>
      </c>
      <c r="D5" s="12" t="s">
        <v>6</v>
      </c>
      <c r="E5" s="12" t="s">
        <v>7</v>
      </c>
      <c r="F5" s="13" t="s">
        <v>8</v>
      </c>
      <c r="G5" s="13" t="s">
        <v>9</v>
      </c>
      <c r="H5" s="14" t="s">
        <v>10</v>
      </c>
      <c r="I5" s="15" t="s">
        <v>11</v>
      </c>
      <c r="J5" s="11" t="s">
        <v>12</v>
      </c>
      <c r="K5" s="11" t="s">
        <v>13</v>
      </c>
      <c r="L5" s="11" t="s">
        <v>14</v>
      </c>
      <c r="M5" s="16" t="s">
        <v>15</v>
      </c>
      <c r="N5" s="11" t="s">
        <v>16</v>
      </c>
      <c r="O5" s="11" t="s">
        <v>17</v>
      </c>
      <c r="P5" s="11" t="s">
        <v>18</v>
      </c>
      <c r="Q5" s="17" t="s">
        <v>19</v>
      </c>
      <c r="R5" s="18" t="s">
        <v>20</v>
      </c>
      <c r="S5" s="10" t="s">
        <v>21</v>
      </c>
      <c r="T5" s="9"/>
    </row>
    <row r="6" ht="34.95" customHeight="1" spans="1:20" x14ac:dyDescent="0.25">
      <c r="A6" s="19">
        <v>1</v>
      </c>
      <c r="B6" s="20" t="s">
        <v>22</v>
      </c>
      <c r="C6" s="19" t="s">
        <v>23</v>
      </c>
      <c r="D6" s="19" t="s">
        <v>24</v>
      </c>
      <c r="E6" s="19">
        <v>30</v>
      </c>
      <c r="F6" s="21">
        <v>3695.2</v>
      </c>
      <c r="G6" s="22">
        <f t="shared" ref="G6:G38" si="0">+F6/30*E6</f>
        <v>3695.2</v>
      </c>
      <c r="H6" s="23"/>
      <c r="I6" s="24"/>
      <c r="J6" s="25">
        <f t="shared" ref="J6:J35" si="1">G6+H6+I6</f>
        <v>3695.2</v>
      </c>
      <c r="K6" s="26">
        <f t="shared" ref="K6:K37" si="2">G6+H6+I6</f>
        <v>3695.2</v>
      </c>
      <c r="L6" s="22">
        <f t="shared" ref="L6:L37" si="3">IF(K6&lt;=2000,(0),IF(K6&lt;=4000,(K6*0.15)-300,IF(K6&lt;=7000,(K6*0.2)-500,IF(K6&lt;=10000,(K6*0.25)-850,IF(K6&lt;=14000,(K6*0.3)-1350,IF(K6&gt;14000,(K6*0.35)-2050))))))</f>
        <v>254.27999999999997</v>
      </c>
      <c r="M6" s="26">
        <f>F6*0.07</f>
        <v>258.664</v>
      </c>
      <c r="N6" s="26">
        <f>F6*0.11</f>
        <v>406.472</v>
      </c>
      <c r="O6" s="25"/>
      <c r="P6" s="22">
        <f t="shared" ref="P6:P37" si="4">L6+M6+O6</f>
        <v>512.944</v>
      </c>
      <c r="Q6" s="24"/>
      <c r="R6" s="22">
        <f t="shared" ref="R6:R37" si="5">J6-P6+Q6</f>
        <v>3182.256</v>
      </c>
      <c r="S6" s="22"/>
      <c r="T6" s="27"/>
    </row>
    <row r="7" ht="34.95" customHeight="1" spans="1:20" x14ac:dyDescent="0.25">
      <c r="A7" s="19">
        <v>2</v>
      </c>
      <c r="B7" s="20" t="s">
        <v>25</v>
      </c>
      <c r="C7" s="19" t="s">
        <v>23</v>
      </c>
      <c r="D7" s="19" t="s">
        <v>26</v>
      </c>
      <c r="E7" s="19">
        <v>30</v>
      </c>
      <c r="F7" s="21">
        <v>2179.49</v>
      </c>
      <c r="G7" s="22">
        <f t="shared" si="0"/>
        <v>2179.49</v>
      </c>
      <c r="H7" s="23"/>
      <c r="I7" s="24"/>
      <c r="J7" s="25">
        <f t="shared" si="1"/>
        <v>2179.49</v>
      </c>
      <c r="K7" s="26">
        <f t="shared" si="2"/>
        <v>2179.49</v>
      </c>
      <c r="L7" s="22">
        <f t="shared" si="3"/>
        <v>26.923499999999933</v>
      </c>
      <c r="M7" s="26">
        <f>F7*0.07</f>
        <v>152.5643</v>
      </c>
      <c r="N7" s="26">
        <f>F7*0.11</f>
        <v>239.74389999999997</v>
      </c>
      <c r="O7" s="25"/>
      <c r="P7" s="22">
        <f t="shared" si="4"/>
        <v>179.48779999999994</v>
      </c>
      <c r="Q7" s="24"/>
      <c r="R7" s="22">
        <f t="shared" si="5"/>
        <v>2000.0022</v>
      </c>
      <c r="S7" s="28"/>
      <c r="T7" s="27"/>
    </row>
    <row r="8" ht="34.95" customHeight="1" spans="1:20" x14ac:dyDescent="0.25">
      <c r="A8" s="19">
        <v>3</v>
      </c>
      <c r="B8" s="20" t="s">
        <v>27</v>
      </c>
      <c r="C8" s="19" t="s">
        <v>28</v>
      </c>
      <c r="D8" s="19" t="s">
        <v>29</v>
      </c>
      <c r="E8" s="19">
        <v>30</v>
      </c>
      <c r="F8" s="21">
        <v>21724.14</v>
      </c>
      <c r="G8" s="22">
        <f t="shared" si="0"/>
        <v>21724.14</v>
      </c>
      <c r="H8" s="23">
        <v>4000</v>
      </c>
      <c r="I8" s="24">
        <f>1846.15*0</f>
        <v>0</v>
      </c>
      <c r="J8" s="25">
        <f t="shared" si="1"/>
        <v>25724.14</v>
      </c>
      <c r="K8" s="26">
        <f t="shared" si="2"/>
        <v>25724.14</v>
      </c>
      <c r="L8" s="22">
        <f t="shared" si="3"/>
        <v>6953.448999999999</v>
      </c>
      <c r="M8" s="26">
        <f>F8*0.07</f>
        <v>1520.6898</v>
      </c>
      <c r="N8" s="26">
        <f>F8*0.11</f>
        <v>2389.6554</v>
      </c>
      <c r="O8" s="22"/>
      <c r="P8" s="22">
        <f t="shared" si="4"/>
        <v>8474.138799999999</v>
      </c>
      <c r="Q8" s="21">
        <v>2000</v>
      </c>
      <c r="R8" s="22">
        <f t="shared" si="5"/>
        <v>19250.0012</v>
      </c>
      <c r="S8" s="28"/>
      <c r="T8" s="27"/>
    </row>
    <row r="9" ht="34.95" customHeight="1" spans="1:20" x14ac:dyDescent="0.25">
      <c r="A9" s="19">
        <v>4</v>
      </c>
      <c r="B9" s="20" t="s">
        <v>30</v>
      </c>
      <c r="C9" s="19" t="s">
        <v>23</v>
      </c>
      <c r="D9" s="19" t="s">
        <v>31</v>
      </c>
      <c r="E9" s="19">
        <v>30</v>
      </c>
      <c r="F9" s="21">
        <v>2179.49</v>
      </c>
      <c r="G9" s="22">
        <f t="shared" si="0"/>
        <v>2179.49</v>
      </c>
      <c r="H9" s="23"/>
      <c r="I9" s="24"/>
      <c r="J9" s="25">
        <f t="shared" si="1"/>
        <v>2179.49</v>
      </c>
      <c r="K9" s="26">
        <f t="shared" si="2"/>
        <v>2179.49</v>
      </c>
      <c r="L9" s="22">
        <f t="shared" si="3"/>
        <v>26.923499999999933</v>
      </c>
      <c r="M9" s="26">
        <f t="shared" ref="M9:M16" si="6">F9*0.07</f>
        <v>152.5643</v>
      </c>
      <c r="N9" s="26">
        <f t="shared" ref="N9:N16" si="7">F9*0.11</f>
        <v>239.74389999999997</v>
      </c>
      <c r="O9" s="25"/>
      <c r="P9" s="22">
        <f t="shared" si="4"/>
        <v>179.48779999999994</v>
      </c>
      <c r="Q9" s="24">
        <v>500</v>
      </c>
      <c r="R9" s="22">
        <f t="shared" si="5"/>
        <v>2500.0022</v>
      </c>
      <c r="S9" s="28"/>
      <c r="T9" s="27"/>
    </row>
    <row r="10" ht="34.95" customHeight="1" spans="1:20" x14ac:dyDescent="0.25">
      <c r="A10" s="19">
        <v>5</v>
      </c>
      <c r="B10" s="20" t="s">
        <v>32</v>
      </c>
      <c r="C10" s="19" t="s">
        <v>33</v>
      </c>
      <c r="D10" s="19" t="s">
        <v>24</v>
      </c>
      <c r="E10" s="19">
        <v>30</v>
      </c>
      <c r="F10" s="21">
        <v>4794.52</v>
      </c>
      <c r="G10" s="22">
        <f t="shared" si="0"/>
        <v>4794.52</v>
      </c>
      <c r="H10" s="23"/>
      <c r="I10" s="29">
        <f>2654.34*0.5</f>
        <v>1327.17</v>
      </c>
      <c r="J10" s="25">
        <f t="shared" si="1"/>
        <v>6121.6900000000005</v>
      </c>
      <c r="K10" s="26">
        <f t="shared" si="2"/>
        <v>6121.6900000000005</v>
      </c>
      <c r="L10" s="22">
        <f t="shared" si="3"/>
        <v>724.3380000000002</v>
      </c>
      <c r="M10" s="30">
        <f t="shared" ref="M10" si="8">F10*0.07</f>
        <v>335.61640000000006</v>
      </c>
      <c r="N10" s="30">
        <f t="shared" ref="N10" si="9">F10*0.11</f>
        <v>527.3972</v>
      </c>
      <c r="O10" s="25"/>
      <c r="P10" s="22">
        <f t="shared" si="4"/>
        <v>1059.9544000000003</v>
      </c>
      <c r="Q10" s="25">
        <f>1000/30*E10</f>
        <v>1000.0000000000001</v>
      </c>
      <c r="R10" s="22">
        <f t="shared" si="5"/>
        <v>6061.7356</v>
      </c>
      <c r="S10" s="31"/>
      <c r="T10" s="27"/>
    </row>
    <row r="11" ht="34.95" customHeight="1" spans="1:20" x14ac:dyDescent="0.25">
      <c r="A11" s="19">
        <v>6</v>
      </c>
      <c r="B11" s="32" t="s">
        <v>34</v>
      </c>
      <c r="C11" s="19" t="s">
        <v>33</v>
      </c>
      <c r="D11" s="19" t="s">
        <v>35</v>
      </c>
      <c r="E11" s="19">
        <v>30</v>
      </c>
      <c r="F11" s="21">
        <v>4794.52</v>
      </c>
      <c r="G11" s="22">
        <f t="shared" si="0"/>
        <v>4794.52</v>
      </c>
      <c r="H11" s="23"/>
      <c r="I11" s="29">
        <f>2654.34*0.5</f>
        <v>1327.17</v>
      </c>
      <c r="J11" s="25">
        <f t="shared" si="1"/>
        <v>6121.6900000000005</v>
      </c>
      <c r="K11" s="26">
        <f t="shared" si="2"/>
        <v>6121.6900000000005</v>
      </c>
      <c r="L11" s="22">
        <f t="shared" si="3"/>
        <v>724.3380000000002</v>
      </c>
      <c r="M11" s="26"/>
      <c r="N11" s="26"/>
      <c r="O11" s="25"/>
      <c r="P11" s="22">
        <f t="shared" si="4"/>
        <v>724.3380000000002</v>
      </c>
      <c r="Q11" s="25">
        <f>1000/30*E11</f>
        <v>1000.0000000000001</v>
      </c>
      <c r="R11" s="22">
        <f t="shared" si="5"/>
        <v>6397.352000000001</v>
      </c>
      <c r="S11" s="28"/>
      <c r="T11" s="27"/>
    </row>
    <row r="12" ht="34.95" customHeight="1" spans="1:20" x14ac:dyDescent="0.25">
      <c r="A12" s="19">
        <v>7</v>
      </c>
      <c r="B12" s="20" t="s">
        <v>36</v>
      </c>
      <c r="C12" s="19" t="s">
        <v>23</v>
      </c>
      <c r="D12" s="19" t="s">
        <v>26</v>
      </c>
      <c r="E12" s="19">
        <v>30</v>
      </c>
      <c r="F12" s="21">
        <v>1612.9</v>
      </c>
      <c r="G12" s="22">
        <f t="shared" si="0"/>
        <v>1612.9</v>
      </c>
      <c r="H12" s="23"/>
      <c r="I12" s="24"/>
      <c r="J12" s="25">
        <f t="shared" si="1"/>
        <v>1612.9</v>
      </c>
      <c r="K12" s="26">
        <f t="shared" si="2"/>
        <v>1612.9</v>
      </c>
      <c r="L12" s="22">
        <f t="shared" si="3"/>
        <v>0</v>
      </c>
      <c r="M12" s="26">
        <f t="shared" si="6"/>
        <v>112.90300000000002</v>
      </c>
      <c r="N12" s="26">
        <f t="shared" si="7"/>
        <v>177.419</v>
      </c>
      <c r="O12" s="25"/>
      <c r="P12" s="22">
        <f t="shared" si="4"/>
        <v>112.90300000000002</v>
      </c>
      <c r="Q12" s="25"/>
      <c r="R12" s="22">
        <f t="shared" si="5"/>
        <v>1499.997</v>
      </c>
      <c r="S12" s="31"/>
      <c r="T12" s="27"/>
    </row>
    <row r="13" ht="34.95" customHeight="1" spans="1:20" x14ac:dyDescent="0.25">
      <c r="A13" s="19">
        <v>8</v>
      </c>
      <c r="B13" s="20" t="s">
        <v>37</v>
      </c>
      <c r="C13" s="19" t="s">
        <v>23</v>
      </c>
      <c r="D13" s="19" t="s">
        <v>38</v>
      </c>
      <c r="E13" s="19">
        <v>30</v>
      </c>
      <c r="F13" s="21">
        <v>1612.9</v>
      </c>
      <c r="G13" s="22">
        <f t="shared" si="0"/>
        <v>1612.9</v>
      </c>
      <c r="H13" s="23"/>
      <c r="I13" s="24"/>
      <c r="J13" s="25">
        <f t="shared" si="1"/>
        <v>1612.9</v>
      </c>
      <c r="K13" s="26">
        <f t="shared" si="2"/>
        <v>1612.9</v>
      </c>
      <c r="L13" s="22">
        <f t="shared" si="3"/>
        <v>0</v>
      </c>
      <c r="M13" s="26">
        <f t="shared" si="6"/>
        <v>112.90300000000002</v>
      </c>
      <c r="N13" s="26">
        <f t="shared" si="7"/>
        <v>177.419</v>
      </c>
      <c r="O13" s="25"/>
      <c r="P13" s="22">
        <f t="shared" si="4"/>
        <v>112.90300000000002</v>
      </c>
      <c r="Q13" s="25"/>
      <c r="R13" s="22">
        <f t="shared" si="5"/>
        <v>1499.997</v>
      </c>
      <c r="S13" s="33"/>
      <c r="T13" s="27"/>
    </row>
    <row r="14" ht="34.95" customHeight="1" spans="1:20" x14ac:dyDescent="0.25">
      <c r="A14" s="19">
        <v>9</v>
      </c>
      <c r="B14" s="20" t="s">
        <v>39</v>
      </c>
      <c r="C14" s="19" t="s">
        <v>40</v>
      </c>
      <c r="D14" s="19" t="s">
        <v>35</v>
      </c>
      <c r="E14" s="19">
        <v>30</v>
      </c>
      <c r="F14" s="21">
        <v>8007.94</v>
      </c>
      <c r="G14" s="22">
        <f t="shared" si="0"/>
        <v>8007.94</v>
      </c>
      <c r="H14" s="23"/>
      <c r="I14" s="24">
        <f>2857.14*1</f>
        <v>2857.14</v>
      </c>
      <c r="J14" s="25">
        <f t="shared" si="1"/>
        <v>10865.08</v>
      </c>
      <c r="K14" s="26">
        <f t="shared" si="2"/>
        <v>10865.08</v>
      </c>
      <c r="L14" s="22">
        <f t="shared" si="3"/>
        <v>1909.524</v>
      </c>
      <c r="M14" s="26">
        <f t="shared" si="6"/>
        <v>560.5558</v>
      </c>
      <c r="N14" s="26">
        <f t="shared" si="7"/>
        <v>880.8734</v>
      </c>
      <c r="O14" s="25"/>
      <c r="P14" s="22">
        <f t="shared" si="4"/>
        <v>2470.0798</v>
      </c>
      <c r="Q14" s="24">
        <v>1000</v>
      </c>
      <c r="R14" s="22">
        <f t="shared" si="5"/>
        <v>9395.0002</v>
      </c>
      <c r="S14" s="22"/>
      <c r="T14" s="27"/>
    </row>
    <row r="15" ht="34.95" customHeight="1" spans="1:20" x14ac:dyDescent="0.25">
      <c r="A15" s="19">
        <v>10</v>
      </c>
      <c r="B15" s="20" t="s">
        <v>41</v>
      </c>
      <c r="C15" s="19" t="s">
        <v>42</v>
      </c>
      <c r="D15" s="19" t="s">
        <v>43</v>
      </c>
      <c r="E15" s="19">
        <v>30</v>
      </c>
      <c r="F15" s="21">
        <v>82672.41</v>
      </c>
      <c r="G15" s="22">
        <f t="shared" si="0"/>
        <v>82672.41</v>
      </c>
      <c r="H15" s="22"/>
      <c r="I15" s="24"/>
      <c r="J15" s="25">
        <f t="shared" si="1"/>
        <v>82672.41</v>
      </c>
      <c r="K15" s="26">
        <f t="shared" si="2"/>
        <v>82672.41</v>
      </c>
      <c r="L15" s="22">
        <f t="shared" si="3"/>
        <v>26885.3435</v>
      </c>
      <c r="M15" s="26">
        <f t="shared" si="6"/>
        <v>5787.068700000001</v>
      </c>
      <c r="N15" s="26">
        <f t="shared" si="7"/>
        <v>9093.965100000001</v>
      </c>
      <c r="O15" s="25"/>
      <c r="P15" s="22">
        <f t="shared" si="4"/>
        <v>32672.4122</v>
      </c>
      <c r="Q15" s="24">
        <f>2000</f>
        <v>2000</v>
      </c>
      <c r="R15" s="22">
        <f t="shared" si="5"/>
        <v>51999.997800000005</v>
      </c>
      <c r="S15" s="22"/>
      <c r="T15" s="27"/>
    </row>
    <row r="16" ht="34.95" customHeight="1" spans="1:20" x14ac:dyDescent="0.25">
      <c r="A16" s="19">
        <v>11</v>
      </c>
      <c r="B16" s="20" t="s">
        <v>44</v>
      </c>
      <c r="C16" s="19" t="s">
        <v>45</v>
      </c>
      <c r="D16" s="19" t="s">
        <v>43</v>
      </c>
      <c r="E16" s="19">
        <v>30</v>
      </c>
      <c r="F16" s="21">
        <v>26594.82</v>
      </c>
      <c r="G16" s="22">
        <f t="shared" si="0"/>
        <v>26594.82</v>
      </c>
      <c r="H16" s="22"/>
      <c r="I16" s="24"/>
      <c r="J16" s="25">
        <f t="shared" si="1"/>
        <v>26594.82</v>
      </c>
      <c r="K16" s="26">
        <f t="shared" si="2"/>
        <v>26594.82</v>
      </c>
      <c r="L16" s="22">
        <f t="shared" si="3"/>
        <v>7258.187</v>
      </c>
      <c r="M16" s="26">
        <f t="shared" si="6"/>
        <v>1861.6374</v>
      </c>
      <c r="N16" s="26">
        <f t="shared" si="7"/>
        <v>2925.4302</v>
      </c>
      <c r="O16" s="25"/>
      <c r="P16" s="22">
        <f t="shared" si="4"/>
        <v>9119.8244</v>
      </c>
      <c r="Q16" s="24">
        <v>1000</v>
      </c>
      <c r="R16" s="22">
        <f t="shared" si="5"/>
        <v>18474.995600000002</v>
      </c>
      <c r="S16" s="22"/>
      <c r="T16" s="27"/>
    </row>
    <row r="17" ht="34.8" customHeight="1" spans="1:20" x14ac:dyDescent="0.25">
      <c r="A17" s="19">
        <v>12</v>
      </c>
      <c r="B17" s="20" t="s">
        <v>46</v>
      </c>
      <c r="C17" s="19" t="s">
        <v>47</v>
      </c>
      <c r="D17" s="19" t="s">
        <v>43</v>
      </c>
      <c r="E17" s="19">
        <v>30</v>
      </c>
      <c r="F17" s="34">
        <v>110258.62</v>
      </c>
      <c r="G17" s="22">
        <f t="shared" si="0"/>
        <v>110258.62</v>
      </c>
      <c r="H17" s="22"/>
      <c r="I17" s="29">
        <v>23076.92</v>
      </c>
      <c r="J17" s="25">
        <f t="shared" si="1"/>
        <v>133335.53999999998</v>
      </c>
      <c r="K17" s="26">
        <f t="shared" si="2"/>
        <v>133335.53999999998</v>
      </c>
      <c r="L17" s="22">
        <f t="shared" si="3"/>
        <v>44617.43899999999</v>
      </c>
      <c r="M17" s="30">
        <f t="shared" ref="M17" si="10">F17*0.07</f>
        <v>7718.1034</v>
      </c>
      <c r="N17" s="30">
        <f t="shared" ref="N17" si="11">F17*0.11</f>
        <v>12128.448199999999</v>
      </c>
      <c r="O17" s="25"/>
      <c r="P17" s="22">
        <f t="shared" si="4"/>
        <v>52335.54239999999</v>
      </c>
      <c r="Q17" s="24">
        <v>4000</v>
      </c>
      <c r="R17" s="22">
        <f t="shared" si="5"/>
        <v>84999.99759999999</v>
      </c>
      <c r="S17" s="22"/>
      <c r="T17" s="27"/>
    </row>
    <row r="18" ht="34.95" customHeight="1" spans="1:20" x14ac:dyDescent="0.25">
      <c r="A18" s="19">
        <v>13</v>
      </c>
      <c r="B18" s="20" t="s">
        <v>48</v>
      </c>
      <c r="C18" s="19" t="s">
        <v>49</v>
      </c>
      <c r="D18" s="19" t="s">
        <v>43</v>
      </c>
      <c r="E18" s="19">
        <v>30</v>
      </c>
      <c r="F18" s="34">
        <v>48189.66</v>
      </c>
      <c r="G18" s="22">
        <f t="shared" si="0"/>
        <v>48189.66</v>
      </c>
      <c r="H18" s="22"/>
      <c r="I18" s="24"/>
      <c r="J18" s="25">
        <f t="shared" si="1"/>
        <v>48189.66</v>
      </c>
      <c r="K18" s="26">
        <f t="shared" si="2"/>
        <v>48189.66</v>
      </c>
      <c r="L18" s="22">
        <f t="shared" si="3"/>
        <v>14816.381000000001</v>
      </c>
      <c r="M18" s="26">
        <f>F18*0.07</f>
        <v>3373.2762000000007</v>
      </c>
      <c r="N18" s="26"/>
      <c r="O18" s="25"/>
      <c r="P18" s="22">
        <f t="shared" si="4"/>
        <v>18189.6572</v>
      </c>
      <c r="Q18" s="24">
        <f>2000+1000</f>
        <v>3000</v>
      </c>
      <c r="R18" s="22">
        <f t="shared" si="5"/>
        <v>33000.0028</v>
      </c>
      <c r="S18" s="35"/>
      <c r="T18" s="27"/>
    </row>
    <row r="19" ht="34.95" customHeight="1" spans="1:21" x14ac:dyDescent="0.25">
      <c r="A19" s="19">
        <v>14</v>
      </c>
      <c r="B19" s="20" t="s">
        <v>50</v>
      </c>
      <c r="C19" s="19" t="s">
        <v>28</v>
      </c>
      <c r="D19" s="19" t="s">
        <v>51</v>
      </c>
      <c r="E19" s="19">
        <v>30</v>
      </c>
      <c r="F19" s="21">
        <v>21724.14</v>
      </c>
      <c r="G19" s="22">
        <f t="shared" si="0"/>
        <v>21724.14</v>
      </c>
      <c r="H19" s="23"/>
      <c r="I19" s="24">
        <f>1846.15*0</f>
        <v>0</v>
      </c>
      <c r="J19" s="25">
        <f t="shared" si="1"/>
        <v>21724.14</v>
      </c>
      <c r="K19" s="26">
        <f t="shared" si="2"/>
        <v>21724.14</v>
      </c>
      <c r="L19" s="22">
        <f t="shared" si="3"/>
        <v>5553.449</v>
      </c>
      <c r="M19" s="26">
        <f>F19*0.07</f>
        <v>1520.6898</v>
      </c>
      <c r="N19" s="26">
        <f>F19*0.11</f>
        <v>2389.6554</v>
      </c>
      <c r="O19" s="22"/>
      <c r="P19" s="22">
        <f t="shared" si="4"/>
        <v>7074.1388</v>
      </c>
      <c r="Q19" s="21">
        <f>2000</f>
        <v>2000</v>
      </c>
      <c r="R19" s="22">
        <f t="shared" si="5"/>
        <v>16650.0012</v>
      </c>
      <c r="S19" s="36"/>
      <c r="T19" s="27"/>
      <c r="U19" s="37"/>
    </row>
    <row r="20" ht="34.95" customHeight="1" spans="1:20" x14ac:dyDescent="0.25">
      <c r="A20" s="19">
        <v>15</v>
      </c>
      <c r="B20" s="20" t="s">
        <v>52</v>
      </c>
      <c r="C20" s="19" t="s">
        <v>23</v>
      </c>
      <c r="D20" s="19" t="s">
        <v>53</v>
      </c>
      <c r="E20" s="19">
        <v>30</v>
      </c>
      <c r="F20" s="21">
        <v>1612.9</v>
      </c>
      <c r="G20" s="22">
        <f t="shared" si="0"/>
        <v>1612.9</v>
      </c>
      <c r="H20" s="23"/>
      <c r="I20" s="24"/>
      <c r="J20" s="25">
        <f t="shared" si="1"/>
        <v>1612.9</v>
      </c>
      <c r="K20" s="26">
        <f t="shared" si="2"/>
        <v>1612.9</v>
      </c>
      <c r="L20" s="22">
        <f t="shared" si="3"/>
        <v>0</v>
      </c>
      <c r="M20" s="26">
        <f>F20*0.07</f>
        <v>112.90300000000002</v>
      </c>
      <c r="N20" s="26">
        <f>F20*0.11</f>
        <v>177.419</v>
      </c>
      <c r="O20" s="25"/>
      <c r="P20" s="22">
        <f t="shared" si="4"/>
        <v>112.90300000000002</v>
      </c>
      <c r="Q20" s="24"/>
      <c r="R20" s="22">
        <f t="shared" si="5"/>
        <v>1499.997</v>
      </c>
      <c r="S20" s="22"/>
      <c r="T20" s="27"/>
    </row>
    <row r="21" ht="34.95" customHeight="1" spans="1:20" x14ac:dyDescent="0.25">
      <c r="A21" s="19">
        <v>16</v>
      </c>
      <c r="B21" s="20" t="s">
        <v>54</v>
      </c>
      <c r="C21" s="19" t="s">
        <v>55</v>
      </c>
      <c r="D21" s="19" t="s">
        <v>43</v>
      </c>
      <c r="E21" s="19">
        <v>30</v>
      </c>
      <c r="F21" s="21">
        <v>17155.17</v>
      </c>
      <c r="G21" s="22">
        <f t="shared" si="0"/>
        <v>17155.17</v>
      </c>
      <c r="H21" s="38"/>
      <c r="I21" s="24"/>
      <c r="J21" s="25">
        <f t="shared" si="1"/>
        <v>17155.17</v>
      </c>
      <c r="K21" s="26">
        <f t="shared" si="2"/>
        <v>17155.17</v>
      </c>
      <c r="L21" s="22">
        <f t="shared" si="3"/>
        <v>3954.3094999999994</v>
      </c>
      <c r="M21" s="26">
        <f>F21*0.07</f>
        <v>1200.8619</v>
      </c>
      <c r="N21" s="26">
        <f>F21*0.11</f>
        <v>1887.0686999999998</v>
      </c>
      <c r="O21" s="25"/>
      <c r="P21" s="22">
        <f t="shared" si="4"/>
        <v>5155.171399999999</v>
      </c>
      <c r="Q21" s="24">
        <v>1500</v>
      </c>
      <c r="R21" s="22">
        <f t="shared" si="5"/>
        <v>13499.998599999999</v>
      </c>
      <c r="S21" s="22"/>
      <c r="T21" s="27"/>
    </row>
    <row r="22" ht="34.95" customHeight="1" spans="1:20" x14ac:dyDescent="0.25">
      <c r="A22" s="19">
        <v>17</v>
      </c>
      <c r="B22" s="20" t="s">
        <v>56</v>
      </c>
      <c r="C22" s="19" t="s">
        <v>40</v>
      </c>
      <c r="D22" s="19" t="s">
        <v>57</v>
      </c>
      <c r="E22" s="19">
        <v>30</v>
      </c>
      <c r="F22" s="21">
        <v>8007.94</v>
      </c>
      <c r="G22" s="22">
        <f t="shared" si="0"/>
        <v>8007.94</v>
      </c>
      <c r="H22" s="23"/>
      <c r="I22" s="24">
        <f>2857.14/30*E22</f>
        <v>2857.14</v>
      </c>
      <c r="J22" s="25">
        <f t="shared" si="1"/>
        <v>10865.08</v>
      </c>
      <c r="K22" s="26">
        <f t="shared" si="2"/>
        <v>10865.08</v>
      </c>
      <c r="L22" s="22">
        <f t="shared" si="3"/>
        <v>1909.524</v>
      </c>
      <c r="M22" s="26">
        <f t="shared" ref="M22:M32" si="12">F22*0.07</f>
        <v>560.5558</v>
      </c>
      <c r="N22" s="26">
        <f t="shared" ref="N22:N32" si="13">F22*0.11</f>
        <v>880.8734</v>
      </c>
      <c r="O22" s="39"/>
      <c r="P22" s="22">
        <f t="shared" si="4"/>
        <v>2470.0798</v>
      </c>
      <c r="Q22" s="24">
        <f>1000</f>
        <v>1000</v>
      </c>
      <c r="R22" s="22">
        <f t="shared" si="5"/>
        <v>9395.0002</v>
      </c>
      <c r="S22" s="22"/>
      <c r="T22" s="27"/>
    </row>
    <row r="23" ht="34.95" customHeight="1" spans="1:20" x14ac:dyDescent="0.25">
      <c r="A23" s="19">
        <v>18</v>
      </c>
      <c r="B23" s="20" t="s">
        <v>58</v>
      </c>
      <c r="C23" s="19" t="s">
        <v>59</v>
      </c>
      <c r="D23" s="19" t="s">
        <v>60</v>
      </c>
      <c r="E23" s="19">
        <v>30</v>
      </c>
      <c r="F23" s="21">
        <v>11108.37</v>
      </c>
      <c r="G23" s="22">
        <f t="shared" si="0"/>
        <v>11108.37</v>
      </c>
      <c r="H23" s="23"/>
      <c r="I23" s="24">
        <f>2857.14</f>
        <v>2857.14</v>
      </c>
      <c r="J23" s="25">
        <f t="shared" si="1"/>
        <v>13965.51</v>
      </c>
      <c r="K23" s="26">
        <f t="shared" si="2"/>
        <v>13965.51</v>
      </c>
      <c r="L23" s="22">
        <f t="shared" si="3"/>
        <v>2839.6530000000002</v>
      </c>
      <c r="M23" s="26">
        <f t="shared" si="12"/>
        <v>777.5859000000002</v>
      </c>
      <c r="N23" s="26">
        <f t="shared" si="13"/>
        <v>1221.9207000000001</v>
      </c>
      <c r="O23" s="39"/>
      <c r="P23" s="22">
        <f t="shared" si="4"/>
        <v>3617.2389000000003</v>
      </c>
      <c r="Q23" s="24">
        <f>1000+1200+740</f>
        <v>2940</v>
      </c>
      <c r="R23" s="22">
        <f t="shared" si="5"/>
        <v>13288.2711</v>
      </c>
      <c r="S23" s="22"/>
      <c r="T23" s="27"/>
    </row>
    <row r="24" ht="34.95" customHeight="1" spans="1:20" x14ac:dyDescent="0.25">
      <c r="A24" s="19">
        <v>19</v>
      </c>
      <c r="B24" s="20" t="s">
        <v>61</v>
      </c>
      <c r="C24" s="19" t="s">
        <v>33</v>
      </c>
      <c r="D24" s="19" t="s">
        <v>62</v>
      </c>
      <c r="E24" s="19">
        <v>30</v>
      </c>
      <c r="F24" s="21">
        <v>4794.52</v>
      </c>
      <c r="G24" s="22">
        <f>+F24/30*E24</f>
        <v>4794.52</v>
      </c>
      <c r="H24" s="23"/>
      <c r="I24" s="29">
        <f>2654.34/30*E24</f>
        <v>2654.34</v>
      </c>
      <c r="J24" s="25">
        <f>G24+H24+I24</f>
        <v>7448.860000000001</v>
      </c>
      <c r="K24" s="26">
        <f>G24+H24+I24</f>
        <v>7448.860000000001</v>
      </c>
      <c r="L24" s="22">
        <f>IF(K24&lt;=2000,(0),IF(K24&lt;=4000,(K24*0.15)-300,IF(K24&lt;=7000,(K24*0.2)-500,IF(K24&lt;=10000,(K24*0.25)-850,IF(K24&lt;=14000,(K24*0.3)-1350,IF(K24&gt;14000,(K24*0.35)-2050))))))</f>
        <v>1012.2150000000001</v>
      </c>
      <c r="M24" s="30">
        <f t="shared" ref="M24" si="14">F24*0.07</f>
        <v>335.61640000000006</v>
      </c>
      <c r="N24" s="30">
        <f t="shared" ref="N24" si="15">F24*0.11</f>
        <v>527.3972</v>
      </c>
      <c r="O24" s="25"/>
      <c r="P24" s="22">
        <f>L24+M24+O24</f>
        <v>1347.8314000000003</v>
      </c>
      <c r="Q24" s="25">
        <f>1000/30*E24</f>
        <v>1000.0000000000001</v>
      </c>
      <c r="R24" s="22">
        <f>J24-P24+Q24</f>
        <v>7101.028600000001</v>
      </c>
      <c r="S24" s="22"/>
      <c r="T24" s="27"/>
    </row>
    <row r="25" ht="34.95" customHeight="1" spans="1:20" x14ac:dyDescent="0.25">
      <c r="A25" s="19">
        <v>20</v>
      </c>
      <c r="B25" s="20" t="s">
        <v>63</v>
      </c>
      <c r="C25" s="19" t="s">
        <v>64</v>
      </c>
      <c r="D25" s="19" t="s">
        <v>65</v>
      </c>
      <c r="E25" s="19">
        <v>30</v>
      </c>
      <c r="F25" s="21">
        <v>5084.07</v>
      </c>
      <c r="G25" s="22">
        <f t="shared" si="0"/>
        <v>5084.07</v>
      </c>
      <c r="H25" s="23">
        <f>Overtime!I5</f>
        <v>2933.1173076923073</v>
      </c>
      <c r="I25" s="24"/>
      <c r="J25" s="25">
        <f t="shared" si="1"/>
        <v>8017.1873076923075</v>
      </c>
      <c r="K25" s="26">
        <f t="shared" si="2"/>
        <v>8017.1873076923075</v>
      </c>
      <c r="L25" s="22">
        <f t="shared" si="3"/>
        <v>1154.2968269230769</v>
      </c>
      <c r="M25" s="26">
        <f t="shared" si="12"/>
        <v>355.8849</v>
      </c>
      <c r="N25" s="26">
        <f t="shared" si="13"/>
        <v>559.2477</v>
      </c>
      <c r="O25" s="40">
        <v>2500</v>
      </c>
      <c r="P25" s="22">
        <f t="shared" si="4"/>
        <v>4010.181726923077</v>
      </c>
      <c r="Q25" s="24"/>
      <c r="R25" s="22">
        <f t="shared" si="5"/>
        <v>4007.0055807692306</v>
      </c>
      <c r="S25" s="22"/>
      <c r="T25" s="27"/>
    </row>
    <row r="26" ht="34.95" customHeight="1" spans="1:20" x14ac:dyDescent="0.25">
      <c r="A26" s="19">
        <v>21</v>
      </c>
      <c r="B26" s="20" t="s">
        <v>66</v>
      </c>
      <c r="C26" s="19" t="s">
        <v>67</v>
      </c>
      <c r="D26" s="19" t="s">
        <v>43</v>
      </c>
      <c r="E26" s="19">
        <v>30</v>
      </c>
      <c r="F26" s="21">
        <v>14655.17</v>
      </c>
      <c r="G26" s="22">
        <f t="shared" si="0"/>
        <v>14655.17</v>
      </c>
      <c r="H26" s="23"/>
      <c r="I26" s="24">
        <v>3076.93</v>
      </c>
      <c r="J26" s="25">
        <f t="shared" si="1"/>
        <v>17732.1</v>
      </c>
      <c r="K26" s="26">
        <f t="shared" si="2"/>
        <v>17732.1</v>
      </c>
      <c r="L26" s="22">
        <f t="shared" si="3"/>
        <v>4156.234999999999</v>
      </c>
      <c r="M26" s="26">
        <f t="shared" si="12"/>
        <v>1025.8619</v>
      </c>
      <c r="N26" s="26">
        <f t="shared" si="13"/>
        <v>1612.0687</v>
      </c>
      <c r="O26" s="25">
        <v>4000</v>
      </c>
      <c r="P26" s="22">
        <f t="shared" si="4"/>
        <v>9182.096899999999</v>
      </c>
      <c r="Q26" s="24">
        <f>1000/30*E26</f>
        <v>1000.0000000000001</v>
      </c>
      <c r="R26" s="22">
        <f t="shared" si="5"/>
        <v>9550.0031</v>
      </c>
      <c r="S26" s="22"/>
      <c r="T26" s="27"/>
    </row>
    <row r="27" ht="34.95" customHeight="1" spans="1:20" x14ac:dyDescent="0.25">
      <c r="A27" s="19">
        <v>22</v>
      </c>
      <c r="B27" s="20" t="s">
        <v>68</v>
      </c>
      <c r="C27" s="19" t="s">
        <v>28</v>
      </c>
      <c r="D27" s="19" t="s">
        <v>31</v>
      </c>
      <c r="E27" s="19">
        <v>30</v>
      </c>
      <c r="F27" s="21">
        <v>20603.45</v>
      </c>
      <c r="G27" s="22">
        <f t="shared" si="0"/>
        <v>20603.45</v>
      </c>
      <c r="H27" s="23"/>
      <c r="I27" s="24">
        <f>1846.15*0</f>
        <v>0</v>
      </c>
      <c r="J27" s="25">
        <f t="shared" si="1"/>
        <v>20603.45</v>
      </c>
      <c r="K27" s="26">
        <f t="shared" si="2"/>
        <v>20603.45</v>
      </c>
      <c r="L27" s="22">
        <f t="shared" si="3"/>
        <v>5161.2074999999995</v>
      </c>
      <c r="M27" s="26">
        <f t="shared" si="12"/>
        <v>1442.2415</v>
      </c>
      <c r="N27" s="26">
        <f t="shared" si="13"/>
        <v>2266.3795</v>
      </c>
      <c r="O27" s="25"/>
      <c r="P27" s="22">
        <f t="shared" si="4"/>
        <v>6603.449</v>
      </c>
      <c r="Q27" s="24">
        <f>2000/30*E27</f>
        <v>2000.0000000000002</v>
      </c>
      <c r="R27" s="22">
        <f t="shared" si="5"/>
        <v>16000.001</v>
      </c>
      <c r="S27" s="22"/>
      <c r="T27" s="27"/>
    </row>
    <row r="28" ht="34.95" customHeight="1" spans="1:20" x14ac:dyDescent="0.25">
      <c r="A28" s="19">
        <v>23</v>
      </c>
      <c r="B28" s="20" t="s">
        <v>69</v>
      </c>
      <c r="C28" s="19" t="s">
        <v>40</v>
      </c>
      <c r="D28" s="19" t="s">
        <v>65</v>
      </c>
      <c r="E28" s="19">
        <v>30</v>
      </c>
      <c r="F28" s="21">
        <v>7573.53</v>
      </c>
      <c r="G28" s="22">
        <f t="shared" si="0"/>
        <v>7573.53</v>
      </c>
      <c r="H28" s="23"/>
      <c r="I28" s="24">
        <f>2857.14/30*E28</f>
        <v>2857.14</v>
      </c>
      <c r="J28" s="25">
        <f t="shared" si="1"/>
        <v>10430.67</v>
      </c>
      <c r="K28" s="26">
        <f t="shared" si="2"/>
        <v>10430.67</v>
      </c>
      <c r="L28" s="22">
        <f t="shared" si="3"/>
        <v>1779.201</v>
      </c>
      <c r="M28" s="26">
        <f t="shared" si="12"/>
        <v>530.1471</v>
      </c>
      <c r="N28" s="26">
        <f t="shared" si="13"/>
        <v>833.0883</v>
      </c>
      <c r="O28" s="25"/>
      <c r="P28" s="22">
        <f t="shared" si="4"/>
        <v>2309.3481</v>
      </c>
      <c r="Q28" s="24">
        <f>1000/30*E28</f>
        <v>1000.0000000000001</v>
      </c>
      <c r="R28" s="22">
        <f t="shared" si="5"/>
        <v>9121.3219</v>
      </c>
      <c r="S28" s="22"/>
      <c r="T28" s="27"/>
    </row>
    <row r="29" ht="34.95" customHeight="1" spans="1:20" x14ac:dyDescent="0.25">
      <c r="A29" s="19">
        <v>24</v>
      </c>
      <c r="B29" s="20" t="s">
        <v>70</v>
      </c>
      <c r="C29" s="19" t="s">
        <v>23</v>
      </c>
      <c r="D29" s="19" t="s">
        <v>71</v>
      </c>
      <c r="E29" s="19">
        <v>30</v>
      </c>
      <c r="F29" s="41">
        <v>2381.41</v>
      </c>
      <c r="G29" s="22">
        <f>+F29/30*E29</f>
        <v>2381.41</v>
      </c>
      <c r="H29" s="23"/>
      <c r="I29" s="24"/>
      <c r="J29" s="25">
        <f>G29+H29+I29</f>
        <v>2381.41</v>
      </c>
      <c r="K29" s="26">
        <f>G29+H29+I29</f>
        <v>2381.41</v>
      </c>
      <c r="L29" s="22">
        <f>IF(K29&lt;=2000,(0),IF(K29&lt;=4000,(K29*0.15)-300,IF(K29&lt;=7000,(K29*0.2)-500,IF(K29&lt;=10000,(K29*0.25)-850,IF(K29&lt;=14000,(K29*0.3)-1350,IF(K29&gt;14000,(K29*0.35)-2050))))))</f>
        <v>57.211499999999944</v>
      </c>
      <c r="M29" s="26">
        <f>F29*0.07</f>
        <v>166.6987</v>
      </c>
      <c r="N29" s="26">
        <f>F29*0.11</f>
        <v>261.95509999999996</v>
      </c>
      <c r="O29" s="25"/>
      <c r="P29" s="22">
        <f t="shared" si="4"/>
        <v>223.91019999999995</v>
      </c>
      <c r="Q29" s="24"/>
      <c r="R29" s="22">
        <f t="shared" si="5"/>
        <v>2157.4998</v>
      </c>
      <c r="S29" s="22"/>
      <c r="T29" s="27"/>
    </row>
    <row r="30" ht="34.95" customHeight="1" spans="1:20" x14ac:dyDescent="0.25">
      <c r="A30" s="19">
        <v>25</v>
      </c>
      <c r="B30" s="20" t="s">
        <v>72</v>
      </c>
      <c r="C30" s="19" t="s">
        <v>23</v>
      </c>
      <c r="D30" s="19" t="s">
        <v>35</v>
      </c>
      <c r="E30" s="19">
        <v>30</v>
      </c>
      <c r="F30" s="21">
        <v>1044.44</v>
      </c>
      <c r="G30" s="22">
        <f t="shared" si="0"/>
        <v>1044.44</v>
      </c>
      <c r="H30" s="23"/>
      <c r="I30" s="24"/>
      <c r="J30" s="25">
        <f t="shared" si="1"/>
        <v>1044.44</v>
      </c>
      <c r="K30" s="26">
        <f t="shared" si="2"/>
        <v>1044.44</v>
      </c>
      <c r="L30" s="22">
        <f t="shared" si="3"/>
        <v>0</v>
      </c>
      <c r="M30" s="26">
        <f t="shared" si="12"/>
        <v>73.11080000000001</v>
      </c>
      <c r="N30" s="26">
        <f t="shared" si="13"/>
        <v>114.8884</v>
      </c>
      <c r="O30" s="25"/>
      <c r="P30" s="22">
        <f t="shared" si="4"/>
        <v>73.11080000000001</v>
      </c>
      <c r="Q30" s="24"/>
      <c r="R30" s="22">
        <f t="shared" si="5"/>
        <v>971.3292</v>
      </c>
      <c r="S30" s="22"/>
      <c r="T30" s="27"/>
    </row>
    <row r="31" ht="34.95" customHeight="1" spans="1:20" x14ac:dyDescent="0.25">
      <c r="A31" s="19">
        <v>26</v>
      </c>
      <c r="B31" s="20" t="s">
        <v>73</v>
      </c>
      <c r="C31" s="19" t="s">
        <v>23</v>
      </c>
      <c r="D31" s="19" t="s">
        <v>35</v>
      </c>
      <c r="E31" s="19">
        <v>30</v>
      </c>
      <c r="F31" s="21">
        <v>1600</v>
      </c>
      <c r="G31" s="22">
        <f t="shared" si="0"/>
        <v>1600</v>
      </c>
      <c r="H31" s="23"/>
      <c r="I31" s="24"/>
      <c r="J31" s="25">
        <f t="shared" si="1"/>
        <v>1600</v>
      </c>
      <c r="K31" s="26">
        <f t="shared" si="2"/>
        <v>1600</v>
      </c>
      <c r="L31" s="22">
        <f t="shared" si="3"/>
        <v>0</v>
      </c>
      <c r="M31" s="26">
        <f t="shared" si="12"/>
        <v>112.00000000000001</v>
      </c>
      <c r="N31" s="26">
        <f t="shared" si="13"/>
        <v>176</v>
      </c>
      <c r="O31" s="25"/>
      <c r="P31" s="22">
        <f t="shared" si="4"/>
        <v>112.00000000000001</v>
      </c>
      <c r="Q31" s="24"/>
      <c r="R31" s="22">
        <f t="shared" si="5"/>
        <v>1488</v>
      </c>
      <c r="S31" s="22"/>
      <c r="T31" s="27"/>
    </row>
    <row r="32" ht="34.95" customHeight="1" spans="1:20" x14ac:dyDescent="0.25">
      <c r="A32" s="19">
        <v>27</v>
      </c>
      <c r="B32" s="20" t="s">
        <v>74</v>
      </c>
      <c r="C32" s="19" t="s">
        <v>40</v>
      </c>
      <c r="D32" s="19" t="s">
        <v>62</v>
      </c>
      <c r="E32" s="19">
        <v>30</v>
      </c>
      <c r="F32" s="21">
        <v>7573.53</v>
      </c>
      <c r="G32" s="22">
        <f t="shared" si="0"/>
        <v>7573.53</v>
      </c>
      <c r="H32" s="23"/>
      <c r="I32" s="24">
        <f>2857.14/30*E32</f>
        <v>2857.14</v>
      </c>
      <c r="J32" s="25">
        <f t="shared" si="1"/>
        <v>10430.67</v>
      </c>
      <c r="K32" s="26">
        <f t="shared" si="2"/>
        <v>10430.67</v>
      </c>
      <c r="L32" s="22">
        <f t="shared" si="3"/>
        <v>1779.201</v>
      </c>
      <c r="M32" s="26">
        <f t="shared" si="12"/>
        <v>530.1471</v>
      </c>
      <c r="N32" s="26">
        <f t="shared" si="13"/>
        <v>833.0883</v>
      </c>
      <c r="O32" s="25"/>
      <c r="P32" s="22">
        <f t="shared" si="4"/>
        <v>2309.3481</v>
      </c>
      <c r="Q32" s="24">
        <f>1000/30*E32</f>
        <v>1000.0000000000001</v>
      </c>
      <c r="R32" s="22">
        <f t="shared" si="5"/>
        <v>9121.3219</v>
      </c>
      <c r="S32" s="22"/>
      <c r="T32" s="27"/>
    </row>
    <row r="33" ht="34.95" customHeight="1" spans="1:20" x14ac:dyDescent="0.25">
      <c r="A33" s="19">
        <v>28</v>
      </c>
      <c r="B33" s="32" t="s">
        <v>75</v>
      </c>
      <c r="C33" s="42" t="s">
        <v>76</v>
      </c>
      <c r="D33" s="19" t="s">
        <v>57</v>
      </c>
      <c r="E33" s="19">
        <v>30</v>
      </c>
      <c r="F33" s="21">
        <v>13730.16</v>
      </c>
      <c r="G33" s="22">
        <f t="shared" ref="G33" si="16">+F33/30*E33</f>
        <v>13730.16</v>
      </c>
      <c r="H33" s="23"/>
      <c r="I33" s="24">
        <v>1517.71</v>
      </c>
      <c r="J33" s="25">
        <f t="shared" ref="J33" si="17">G33+H33+I33</f>
        <v>15247.869999999999</v>
      </c>
      <c r="K33" s="26">
        <f t="shared" ref="K33" si="18">G33+H33+I33</f>
        <v>15247.869999999999</v>
      </c>
      <c r="L33" s="22">
        <f t="shared" ref="L33" si="19">IF(K33&lt;=2000,(0),IF(K33&lt;=4000,(K33*0.15)-300,IF(K33&lt;=7000,(K33*0.2)-500,IF(K33&lt;=10000,(K33*0.25)-850,IF(K33&lt;=14000,(K33*0.3)-1350,IF(K33&gt;14000,(K33*0.35)-2050))))))</f>
        <v>3286.754499999999</v>
      </c>
      <c r="M33" s="26"/>
      <c r="N33" s="26"/>
      <c r="O33" s="25"/>
      <c r="P33" s="22">
        <f t="shared" ref="P33" si="20">L33+M33+O33</f>
        <v>3286.754499999999</v>
      </c>
      <c r="Q33" s="24">
        <v>1000</v>
      </c>
      <c r="R33" s="22">
        <f t="shared" ref="R33" si="21">J33-P33+Q33</f>
        <v>12961.1155</v>
      </c>
      <c r="S33" s="22"/>
      <c r="T33" s="27"/>
    </row>
    <row r="34" ht="34.95" customHeight="1" spans="1:20" x14ac:dyDescent="0.25">
      <c r="A34" s="19">
        <v>29</v>
      </c>
      <c r="B34" s="20" t="s">
        <v>77</v>
      </c>
      <c r="C34" s="19" t="s">
        <v>23</v>
      </c>
      <c r="D34" s="19" t="s">
        <v>57</v>
      </c>
      <c r="E34" s="19">
        <v>30</v>
      </c>
      <c r="F34" s="21">
        <v>1832.35</v>
      </c>
      <c r="G34" s="22">
        <f t="shared" si="0"/>
        <v>1832.35</v>
      </c>
      <c r="H34" s="23"/>
      <c r="I34" s="24"/>
      <c r="J34" s="25">
        <f t="shared" si="1"/>
        <v>1832.35</v>
      </c>
      <c r="K34" s="26">
        <f t="shared" si="2"/>
        <v>1832.35</v>
      </c>
      <c r="L34" s="22">
        <f t="shared" si="3"/>
        <v>0</v>
      </c>
      <c r="M34" s="26"/>
      <c r="N34" s="26"/>
      <c r="O34" s="25"/>
      <c r="P34" s="22">
        <f t="shared" si="4"/>
        <v>0</v>
      </c>
      <c r="Q34" s="24"/>
      <c r="R34" s="22">
        <f t="shared" si="5"/>
        <v>1832.35</v>
      </c>
      <c r="S34" s="22"/>
      <c r="T34" s="27"/>
    </row>
    <row r="35" ht="34.95" customHeight="1" spans="1:20" x14ac:dyDescent="0.25">
      <c r="A35" s="19">
        <v>30</v>
      </c>
      <c r="B35" s="20" t="s">
        <v>78</v>
      </c>
      <c r="C35" s="19" t="s">
        <v>59</v>
      </c>
      <c r="D35" s="19" t="s">
        <v>79</v>
      </c>
      <c r="E35" s="19">
        <v>30</v>
      </c>
      <c r="F35" s="21">
        <v>9044.12</v>
      </c>
      <c r="G35" s="22">
        <f t="shared" si="0"/>
        <v>9044.12</v>
      </c>
      <c r="H35" s="23"/>
      <c r="I35" s="43">
        <f>2788.86/30*E35</f>
        <v>2788.86</v>
      </c>
      <c r="J35" s="25">
        <f t="shared" si="1"/>
        <v>11832.980000000001</v>
      </c>
      <c r="K35" s="26">
        <f t="shared" si="2"/>
        <v>11832.980000000001</v>
      </c>
      <c r="L35" s="22">
        <f t="shared" si="3"/>
        <v>2199.8940000000002</v>
      </c>
      <c r="M35" s="26">
        <f>F35*0.07</f>
        <v>633.0884000000001</v>
      </c>
      <c r="N35" s="26">
        <f>F35*0.11</f>
        <v>994.8532000000001</v>
      </c>
      <c r="O35" s="25"/>
      <c r="P35" s="22">
        <f t="shared" si="4"/>
        <v>2832.9824000000003</v>
      </c>
      <c r="Q35" s="24">
        <v>1000</v>
      </c>
      <c r="R35" s="22">
        <f t="shared" si="5"/>
        <v>9999.9976</v>
      </c>
      <c r="S35" s="22"/>
      <c r="T35" s="27"/>
    </row>
    <row r="36" ht="34.95" customHeight="1" spans="1:20" x14ac:dyDescent="0.25">
      <c r="A36" s="19">
        <v>31</v>
      </c>
      <c r="B36" s="20" t="s">
        <v>80</v>
      </c>
      <c r="C36" s="19" t="s">
        <v>59</v>
      </c>
      <c r="D36" s="19" t="s">
        <v>24</v>
      </c>
      <c r="E36" s="19">
        <v>30</v>
      </c>
      <c r="F36" s="21">
        <v>9044.12</v>
      </c>
      <c r="G36" s="22">
        <f t="shared" si="0"/>
        <v>9044.12</v>
      </c>
      <c r="H36" s="23"/>
      <c r="I36" s="43">
        <f>2788.86</f>
        <v>2788.86</v>
      </c>
      <c r="J36" s="25">
        <f>G36+H36+I36</f>
        <v>11832.980000000001</v>
      </c>
      <c r="K36" s="26">
        <f t="shared" si="2"/>
        <v>11832.980000000001</v>
      </c>
      <c r="L36" s="22">
        <f t="shared" si="3"/>
        <v>2199.8940000000002</v>
      </c>
      <c r="M36" s="26">
        <f>F36*0.07</f>
        <v>633.0884000000001</v>
      </c>
      <c r="N36" s="26">
        <f>F36*0.11</f>
        <v>994.8532000000001</v>
      </c>
      <c r="O36" s="25"/>
      <c r="P36" s="22">
        <f t="shared" si="4"/>
        <v>2832.9824000000003</v>
      </c>
      <c r="Q36" s="25">
        <v>1000</v>
      </c>
      <c r="R36" s="22">
        <f t="shared" si="5"/>
        <v>9999.9976</v>
      </c>
      <c r="S36" s="22"/>
      <c r="T36" s="27"/>
    </row>
    <row r="37" ht="34.95" customHeight="1" spans="1:20" x14ac:dyDescent="0.25">
      <c r="A37" s="19">
        <v>32</v>
      </c>
      <c r="B37" s="20" t="s">
        <v>81</v>
      </c>
      <c r="C37" s="19" t="s">
        <v>59</v>
      </c>
      <c r="D37" s="19" t="s">
        <v>51</v>
      </c>
      <c r="E37" s="19">
        <v>30</v>
      </c>
      <c r="F37" s="21">
        <v>11108.37</v>
      </c>
      <c r="G37" s="22">
        <f t="shared" si="0"/>
        <v>11108.37</v>
      </c>
      <c r="H37" s="23"/>
      <c r="I37" s="43">
        <f>2857.14*1</f>
        <v>2857.14</v>
      </c>
      <c r="J37" s="25">
        <f>G37+H37+I37</f>
        <v>13965.51</v>
      </c>
      <c r="K37" s="26">
        <f t="shared" si="2"/>
        <v>13965.51</v>
      </c>
      <c r="L37" s="22">
        <f t="shared" si="3"/>
        <v>2839.6530000000002</v>
      </c>
      <c r="M37" s="26">
        <f>F37*0.07</f>
        <v>777.5859000000002</v>
      </c>
      <c r="N37" s="26">
        <f>F37*0.11</f>
        <v>1221.9207000000001</v>
      </c>
      <c r="O37" s="25"/>
      <c r="P37" s="22">
        <f t="shared" si="4"/>
        <v>3617.2389000000003</v>
      </c>
      <c r="Q37" s="24">
        <f>1000+1200</f>
        <v>2200</v>
      </c>
      <c r="R37" s="22">
        <f t="shared" si="5"/>
        <v>12548.2711</v>
      </c>
      <c r="S37" s="22"/>
      <c r="T37" s="27"/>
    </row>
    <row r="38" ht="34.95" customHeight="1" spans="1:20" x14ac:dyDescent="0.25">
      <c r="A38" s="19">
        <v>33</v>
      </c>
      <c r="B38" s="20" t="s">
        <v>82</v>
      </c>
      <c r="C38" s="19" t="s">
        <v>23</v>
      </c>
      <c r="D38" s="19" t="s">
        <v>60</v>
      </c>
      <c r="E38" s="19">
        <v>30</v>
      </c>
      <c r="F38" s="21">
        <v>1612.9</v>
      </c>
      <c r="G38" s="22">
        <f t="shared" si="0"/>
        <v>1612.9</v>
      </c>
      <c r="H38" s="23"/>
      <c r="I38" s="43"/>
      <c r="J38" s="25">
        <f>G38+H38+I38</f>
        <v>1612.9</v>
      </c>
      <c r="K38" s="26">
        <f>G38+H38+I38</f>
        <v>1612.9</v>
      </c>
      <c r="L38" s="22">
        <f>IF(K38&lt;=2000,(0),IF(K38&lt;=4000,(K38*0.15)-300,IF(K38&lt;=7000,(K38*0.2)-500,IF(K38&lt;=10000,(K38*0.25)-850,IF(K38&lt;=14000,(K38*0.3)-1350,IF(K38&gt;14000,(K38*0.35)-2050))))))</f>
        <v>0</v>
      </c>
      <c r="M38" s="44">
        <f>F38*0.07</f>
        <v>112.90300000000002</v>
      </c>
      <c r="N38" s="44">
        <f>F38*0.11</f>
        <v>177.419</v>
      </c>
      <c r="O38" s="25"/>
      <c r="P38" s="22">
        <f>L38+M38+O38</f>
        <v>112.90300000000002</v>
      </c>
      <c r="Q38" s="24"/>
      <c r="R38" s="22">
        <f t="shared" ref="R38:R46" si="22">J38-P38+Q38</f>
        <v>1499.997</v>
      </c>
      <c r="S38" s="22"/>
      <c r="T38" s="27"/>
    </row>
    <row r="39" ht="34.95" customHeight="1" spans="1:20" x14ac:dyDescent="0.25">
      <c r="A39" s="19">
        <v>34</v>
      </c>
      <c r="B39" s="20" t="s">
        <v>83</v>
      </c>
      <c r="C39" s="19" t="s">
        <v>23</v>
      </c>
      <c r="D39" s="19" t="s">
        <v>43</v>
      </c>
      <c r="E39" s="19">
        <v>30</v>
      </c>
      <c r="F39" s="21">
        <v>5913.34</v>
      </c>
      <c r="G39" s="22">
        <f t="shared" ref="G39:G62" si="23">+F39/30*E39</f>
        <v>5913.34</v>
      </c>
      <c r="H39" s="23"/>
      <c r="I39" s="24"/>
      <c r="J39" s="25">
        <f t="shared" ref="J39:J61" si="24">G39+H39+I39</f>
        <v>5913.34</v>
      </c>
      <c r="K39" s="26">
        <f t="shared" ref="K39:K61" si="25">G39+H39+I39</f>
        <v>5913.34</v>
      </c>
      <c r="L39" s="22">
        <f t="shared" ref="L39:L61" si="26">IF(K39&lt;=2000,(0),IF(K39&lt;=4000,(K39*0.15)-300,IF(K39&lt;=7000,(K39*0.2)-500,IF(K39&lt;=10000,(K39*0.25)-850,IF(K39&lt;=14000,(K39*0.3)-1350,IF(K39&gt;14000,(K39*0.35)-2050))))))</f>
        <v>682.6680000000001</v>
      </c>
      <c r="M39" s="26"/>
      <c r="N39" s="26"/>
      <c r="O39" s="25"/>
      <c r="P39" s="22">
        <f t="shared" ref="P39:P62" si="27">L39+M39+O39</f>
        <v>682.6680000000001</v>
      </c>
      <c r="Q39" s="24">
        <v>2000</v>
      </c>
      <c r="R39" s="22">
        <f t="shared" si="22"/>
        <v>7230.6720000000005</v>
      </c>
      <c r="S39" s="22"/>
      <c r="T39" s="27"/>
    </row>
    <row r="40" ht="34.95" customHeight="1" spans="1:20" x14ac:dyDescent="0.25">
      <c r="A40" s="19">
        <v>35</v>
      </c>
      <c r="B40" s="20" t="s">
        <v>84</v>
      </c>
      <c r="C40" s="19" t="s">
        <v>55</v>
      </c>
      <c r="D40" s="19" t="s">
        <v>43</v>
      </c>
      <c r="E40" s="19">
        <v>30</v>
      </c>
      <c r="F40" s="21">
        <v>18879.31</v>
      </c>
      <c r="G40" s="22">
        <f t="shared" si="23"/>
        <v>18879.31</v>
      </c>
      <c r="H40" s="23"/>
      <c r="I40" s="24"/>
      <c r="J40" s="25">
        <f t="shared" si="24"/>
        <v>18879.31</v>
      </c>
      <c r="K40" s="26">
        <f t="shared" si="25"/>
        <v>18879.31</v>
      </c>
      <c r="L40" s="22">
        <f t="shared" si="26"/>
        <v>4557.7585</v>
      </c>
      <c r="M40" s="26">
        <f>F40*0.07</f>
        <v>1321.5517000000002</v>
      </c>
      <c r="N40" s="26">
        <f>F40*0.11</f>
        <v>2076.7241000000004</v>
      </c>
      <c r="O40" s="25"/>
      <c r="P40" s="22">
        <f t="shared" si="27"/>
        <v>5879.3102</v>
      </c>
      <c r="Q40" s="24">
        <v>1500</v>
      </c>
      <c r="R40" s="22">
        <f t="shared" si="22"/>
        <v>14499.999800000001</v>
      </c>
      <c r="S40" s="22"/>
      <c r="T40" s="27"/>
    </row>
    <row r="41" ht="34.95" customHeight="1" spans="1:20" x14ac:dyDescent="0.25">
      <c r="A41" s="19">
        <v>36</v>
      </c>
      <c r="B41" s="20" t="s">
        <v>85</v>
      </c>
      <c r="C41" s="19" t="s">
        <v>33</v>
      </c>
      <c r="D41" s="19" t="s">
        <v>71</v>
      </c>
      <c r="E41" s="19">
        <v>30</v>
      </c>
      <c r="F41" s="21">
        <v>4794.52</v>
      </c>
      <c r="G41" s="22">
        <f t="shared" si="23"/>
        <v>4794.52</v>
      </c>
      <c r="H41" s="23"/>
      <c r="I41" s="29">
        <f>2654.34/30*E41</f>
        <v>2654.34</v>
      </c>
      <c r="J41" s="25">
        <f t="shared" si="24"/>
        <v>7448.860000000001</v>
      </c>
      <c r="K41" s="26">
        <f t="shared" si="25"/>
        <v>7448.860000000001</v>
      </c>
      <c r="L41" s="22">
        <f t="shared" si="26"/>
        <v>1012.2150000000001</v>
      </c>
      <c r="M41" s="44">
        <f>F41*0.07</f>
        <v>335.61640000000006</v>
      </c>
      <c r="N41" s="44">
        <f>F41*0.11</f>
        <v>527.3972</v>
      </c>
      <c r="O41" s="25"/>
      <c r="P41" s="22">
        <f t="shared" si="27"/>
        <v>1347.8314000000003</v>
      </c>
      <c r="Q41" s="25">
        <f>1000/30*E41</f>
        <v>1000.0000000000001</v>
      </c>
      <c r="R41" s="22">
        <f t="shared" si="22"/>
        <v>7101.028600000001</v>
      </c>
      <c r="S41" s="22"/>
      <c r="T41" s="27"/>
    </row>
    <row r="42" ht="34.95" customHeight="1" spans="1:20" x14ac:dyDescent="0.25">
      <c r="A42" s="19">
        <v>37</v>
      </c>
      <c r="B42" s="20" t="s">
        <v>86</v>
      </c>
      <c r="C42" s="19" t="s">
        <v>40</v>
      </c>
      <c r="D42" s="19" t="s">
        <v>26</v>
      </c>
      <c r="E42" s="19">
        <v>30</v>
      </c>
      <c r="F42" s="21">
        <v>7124.27</v>
      </c>
      <c r="G42" s="22">
        <f t="shared" si="23"/>
        <v>7124.27</v>
      </c>
      <c r="H42" s="23"/>
      <c r="I42" s="24">
        <v>3480.15</v>
      </c>
      <c r="J42" s="25">
        <f t="shared" si="24"/>
        <v>10604.42</v>
      </c>
      <c r="K42" s="26">
        <f t="shared" si="25"/>
        <v>10604.42</v>
      </c>
      <c r="L42" s="22">
        <f t="shared" si="26"/>
        <v>1831.326</v>
      </c>
      <c r="M42" s="26">
        <f t="shared" ref="M42:M62" si="28">F42*0.07</f>
        <v>498.6989000000001</v>
      </c>
      <c r="N42" s="26">
        <f t="shared" ref="N42:N62" si="29">F42*0.11</f>
        <v>783.6697</v>
      </c>
      <c r="O42" s="25"/>
      <c r="P42" s="22">
        <f t="shared" si="27"/>
        <v>2330.0249000000003</v>
      </c>
      <c r="Q42" s="24">
        <f>1000</f>
        <v>1000</v>
      </c>
      <c r="R42" s="22">
        <f t="shared" si="22"/>
        <v>9274.3951</v>
      </c>
      <c r="S42" s="22"/>
      <c r="T42" s="27"/>
    </row>
    <row r="43" ht="34.95" customHeight="1" spans="1:20" x14ac:dyDescent="0.25">
      <c r="A43" s="19">
        <v>38</v>
      </c>
      <c r="B43" s="32" t="s">
        <v>87</v>
      </c>
      <c r="C43" s="19" t="s">
        <v>33</v>
      </c>
      <c r="D43" s="19" t="s">
        <v>26</v>
      </c>
      <c r="E43" s="19">
        <v>30</v>
      </c>
      <c r="F43" s="21">
        <v>4794.52</v>
      </c>
      <c r="G43" s="22">
        <f t="shared" si="23"/>
        <v>4794.52</v>
      </c>
      <c r="H43" s="23"/>
      <c r="I43" s="29"/>
      <c r="J43" s="25">
        <f t="shared" si="24"/>
        <v>4794.52</v>
      </c>
      <c r="K43" s="26">
        <f t="shared" si="25"/>
        <v>4794.52</v>
      </c>
      <c r="L43" s="22">
        <f t="shared" si="26"/>
        <v>458.9040000000001</v>
      </c>
      <c r="M43" s="26"/>
      <c r="N43" s="26"/>
      <c r="O43" s="25"/>
      <c r="P43" s="22">
        <f t="shared" si="27"/>
        <v>458.9040000000001</v>
      </c>
      <c r="Q43" s="24">
        <f>1000/30*E43</f>
        <v>1000.0000000000001</v>
      </c>
      <c r="R43" s="22">
        <f t="shared" si="22"/>
        <v>5335.616</v>
      </c>
      <c r="S43" s="35"/>
      <c r="T43" s="27"/>
    </row>
    <row r="44" ht="34.95" customHeight="1" spans="1:20" x14ac:dyDescent="0.25">
      <c r="A44" s="19">
        <v>39</v>
      </c>
      <c r="B44" s="20" t="s">
        <v>88</v>
      </c>
      <c r="C44" s="19" t="s">
        <v>28</v>
      </c>
      <c r="D44" s="19" t="s">
        <v>65</v>
      </c>
      <c r="E44" s="19">
        <v>30</v>
      </c>
      <c r="F44" s="21">
        <v>20603.45</v>
      </c>
      <c r="G44" s="22">
        <f t="shared" si="23"/>
        <v>20603.45</v>
      </c>
      <c r="H44" s="23"/>
      <c r="I44" s="24">
        <f>1846.15*0</f>
        <v>0</v>
      </c>
      <c r="J44" s="25">
        <f t="shared" si="24"/>
        <v>20603.45</v>
      </c>
      <c r="K44" s="26">
        <f t="shared" si="25"/>
        <v>20603.45</v>
      </c>
      <c r="L44" s="22">
        <f t="shared" si="26"/>
        <v>5161.2074999999995</v>
      </c>
      <c r="M44" s="26">
        <f t="shared" si="28"/>
        <v>1442.2415</v>
      </c>
      <c r="N44" s="26">
        <f t="shared" si="29"/>
        <v>2266.3795</v>
      </c>
      <c r="O44" s="25"/>
      <c r="P44" s="22">
        <f t="shared" si="27"/>
        <v>6603.449</v>
      </c>
      <c r="Q44" s="24">
        <v>2000</v>
      </c>
      <c r="R44" s="22">
        <f t="shared" si="22"/>
        <v>16000.001</v>
      </c>
      <c r="S44" s="22"/>
      <c r="T44" s="27"/>
    </row>
    <row r="45" ht="34.95" customHeight="1" spans="1:20" x14ac:dyDescent="0.25">
      <c r="A45" s="19">
        <v>40</v>
      </c>
      <c r="B45" s="20" t="s">
        <v>89</v>
      </c>
      <c r="C45" s="19" t="s">
        <v>40</v>
      </c>
      <c r="D45" s="19" t="s">
        <v>31</v>
      </c>
      <c r="E45" s="19">
        <v>16</v>
      </c>
      <c r="F45" s="21">
        <v>7573.53</v>
      </c>
      <c r="G45" s="22">
        <f t="shared" si="23"/>
        <v>4039.216</v>
      </c>
      <c r="H45" s="23"/>
      <c r="I45" s="24">
        <f>2683.83/30*E45</f>
        <v>1431.376</v>
      </c>
      <c r="J45" s="25">
        <f t="shared" si="24"/>
        <v>5470.592</v>
      </c>
      <c r="K45" s="26">
        <f t="shared" si="25"/>
        <v>5470.592</v>
      </c>
      <c r="L45" s="22">
        <f t="shared" si="26"/>
        <v>594.1184000000001</v>
      </c>
      <c r="M45" s="26">
        <f t="shared" si="28"/>
        <v>530.1471</v>
      </c>
      <c r="N45" s="26">
        <f t="shared" si="29"/>
        <v>833.0883</v>
      </c>
      <c r="O45" s="25"/>
      <c r="P45" s="22">
        <f t="shared" si="27"/>
        <v>1124.2655</v>
      </c>
      <c r="Q45" s="24">
        <v>2000</v>
      </c>
      <c r="R45" s="22">
        <f t="shared" si="22"/>
        <v>6346.326499999999</v>
      </c>
      <c r="S45" s="22"/>
      <c r="T45" s="27"/>
    </row>
    <row r="46" ht="34.95" customHeight="1" spans="1:20" x14ac:dyDescent="0.25">
      <c r="A46" s="19">
        <v>41</v>
      </c>
      <c r="B46" s="20" t="s">
        <v>90</v>
      </c>
      <c r="C46" s="19" t="s">
        <v>91</v>
      </c>
      <c r="D46" s="19" t="s">
        <v>71</v>
      </c>
      <c r="E46" s="19">
        <v>30</v>
      </c>
      <c r="F46" s="21">
        <v>17155.18</v>
      </c>
      <c r="G46" s="22">
        <f>+F46/30*E46</f>
        <v>17155.18</v>
      </c>
      <c r="H46" s="23">
        <v>5000</v>
      </c>
      <c r="I46" s="24">
        <f>1846.15*0</f>
        <v>0</v>
      </c>
      <c r="J46" s="25">
        <f>G46+H46+I46</f>
        <v>22155.18</v>
      </c>
      <c r="K46" s="26">
        <f>G46+H46+I46</f>
        <v>22155.18</v>
      </c>
      <c r="L46" s="22">
        <f>IF(K46&lt;=2000,(0),IF(K46&lt;=4000,(K46*0.15)-300,IF(K46&lt;=7000,(K46*0.2)-500,IF(K46&lt;=10000,(K46*0.25)-850,IF(K46&lt;=14000,(K46*0.3)-1350,IF(K46&gt;14000,(K46*0.35)-2050))))))</f>
        <v>5704.312999999999</v>
      </c>
      <c r="M46" s="26">
        <f>F46*0.07</f>
        <v>1200.8626000000002</v>
      </c>
      <c r="N46" s="26">
        <f>F46*0.11</f>
        <v>1887.0698</v>
      </c>
      <c r="O46" s="25"/>
      <c r="P46" s="22">
        <f>L46+M46+O46</f>
        <v>6905.1756</v>
      </c>
      <c r="Q46" s="24">
        <v>1000</v>
      </c>
      <c r="R46" s="22">
        <f t="shared" si="22"/>
        <v>16250.004400000002</v>
      </c>
      <c r="S46" s="22"/>
      <c r="T46" s="27"/>
    </row>
    <row r="47" ht="34.95" customHeight="1" spans="1:20" x14ac:dyDescent="0.25">
      <c r="A47" s="19">
        <v>42</v>
      </c>
      <c r="B47" s="20" t="s">
        <v>92</v>
      </c>
      <c r="C47" s="19" t="s">
        <v>91</v>
      </c>
      <c r="D47" s="19" t="s">
        <v>26</v>
      </c>
      <c r="E47" s="19">
        <v>30</v>
      </c>
      <c r="F47" s="21">
        <v>17155.18</v>
      </c>
      <c r="G47" s="22">
        <f t="shared" si="23"/>
        <v>17155.18</v>
      </c>
      <c r="H47" s="23"/>
      <c r="I47" s="24">
        <f>1846.15*0</f>
        <v>0</v>
      </c>
      <c r="J47" s="25">
        <f t="shared" si="24"/>
        <v>17155.18</v>
      </c>
      <c r="K47" s="26">
        <f t="shared" si="25"/>
        <v>17155.18</v>
      </c>
      <c r="L47" s="22">
        <f t="shared" si="26"/>
        <v>3954.313</v>
      </c>
      <c r="M47" s="26">
        <f t="shared" si="28"/>
        <v>1200.8626000000002</v>
      </c>
      <c r="N47" s="26">
        <f t="shared" si="29"/>
        <v>1887.0698</v>
      </c>
      <c r="O47" s="25"/>
      <c r="P47" s="22">
        <f t="shared" si="27"/>
        <v>5155.1756000000005</v>
      </c>
      <c r="Q47" s="24">
        <v>1000</v>
      </c>
      <c r="R47" s="22">
        <f t="shared" ref="R47:R62" si="30">J47-P47+Q47</f>
        <v>13000.0044</v>
      </c>
      <c r="S47" s="22"/>
      <c r="T47" s="27"/>
    </row>
    <row r="48" ht="34.95" customHeight="1" spans="1:20" x14ac:dyDescent="0.25">
      <c r="A48" s="19">
        <v>43</v>
      </c>
      <c r="B48" s="20" t="s">
        <v>93</v>
      </c>
      <c r="C48" s="19" t="s">
        <v>59</v>
      </c>
      <c r="D48" s="19" t="s">
        <v>31</v>
      </c>
      <c r="E48" s="19">
        <v>30</v>
      </c>
      <c r="F48" s="21">
        <v>9044.12</v>
      </c>
      <c r="G48" s="22">
        <f t="shared" si="23"/>
        <v>9044.12</v>
      </c>
      <c r="H48" s="23"/>
      <c r="I48" s="43">
        <f>2788.86/30*E48</f>
        <v>2788.86</v>
      </c>
      <c r="J48" s="25">
        <f t="shared" si="24"/>
        <v>11832.980000000001</v>
      </c>
      <c r="K48" s="26">
        <f t="shared" si="25"/>
        <v>11832.980000000001</v>
      </c>
      <c r="L48" s="22">
        <f t="shared" si="26"/>
        <v>2199.8940000000002</v>
      </c>
      <c r="M48" s="26">
        <f>F48*0.07</f>
        <v>633.0884000000001</v>
      </c>
      <c r="N48" s="26">
        <f>F48*0.11</f>
        <v>994.8532000000001</v>
      </c>
      <c r="O48" s="25"/>
      <c r="P48" s="22">
        <f t="shared" si="27"/>
        <v>2832.9824000000003</v>
      </c>
      <c r="Q48" s="25">
        <f>1000/30*E48</f>
        <v>1000.0000000000001</v>
      </c>
      <c r="R48" s="22">
        <f t="shared" si="30"/>
        <v>9999.9976</v>
      </c>
      <c r="S48" s="22"/>
      <c r="T48" s="27"/>
    </row>
    <row r="49" ht="34.95" customHeight="1" spans="1:20" x14ac:dyDescent="0.25">
      <c r="A49" s="19">
        <v>44</v>
      </c>
      <c r="B49" s="20" t="s">
        <v>94</v>
      </c>
      <c r="C49" s="19" t="s">
        <v>59</v>
      </c>
      <c r="D49" s="19" t="s">
        <v>95</v>
      </c>
      <c r="E49" s="19">
        <v>30</v>
      </c>
      <c r="F49" s="21">
        <v>9044.12</v>
      </c>
      <c r="G49" s="22">
        <f t="shared" si="23"/>
        <v>9044.12</v>
      </c>
      <c r="H49" s="23"/>
      <c r="I49" s="43">
        <f>2788.86</f>
        <v>2788.86</v>
      </c>
      <c r="J49" s="25">
        <f t="shared" si="24"/>
        <v>11832.980000000001</v>
      </c>
      <c r="K49" s="26">
        <f t="shared" si="25"/>
        <v>11832.980000000001</v>
      </c>
      <c r="L49" s="22">
        <f t="shared" si="26"/>
        <v>2199.8940000000002</v>
      </c>
      <c r="M49" s="26">
        <f>F49*0.07</f>
        <v>633.0884000000001</v>
      </c>
      <c r="N49" s="26">
        <f>F49*0.11</f>
        <v>994.8532000000001</v>
      </c>
      <c r="O49" s="25"/>
      <c r="P49" s="22">
        <f t="shared" si="27"/>
        <v>2832.9824000000003</v>
      </c>
      <c r="Q49" s="25">
        <v>1000</v>
      </c>
      <c r="R49" s="22">
        <f t="shared" si="30"/>
        <v>9999.9976</v>
      </c>
      <c r="S49" s="22"/>
      <c r="T49" s="27"/>
    </row>
    <row r="50" ht="34.95" customHeight="1" spans="1:20" x14ac:dyDescent="0.25">
      <c r="A50" s="19">
        <v>45</v>
      </c>
      <c r="B50" s="20" t="s">
        <v>96</v>
      </c>
      <c r="C50" s="19" t="s">
        <v>91</v>
      </c>
      <c r="D50" s="19" t="s">
        <v>79</v>
      </c>
      <c r="E50" s="19">
        <v>30</v>
      </c>
      <c r="F50" s="21">
        <v>18103.45</v>
      </c>
      <c r="G50" s="22">
        <f t="shared" si="23"/>
        <v>18103.45</v>
      </c>
      <c r="H50" s="23">
        <v>2000</v>
      </c>
      <c r="I50" s="24">
        <f>1846.15*0</f>
        <v>0</v>
      </c>
      <c r="J50" s="25">
        <f t="shared" si="24"/>
        <v>20103.45</v>
      </c>
      <c r="K50" s="26">
        <f t="shared" si="25"/>
        <v>20103.45</v>
      </c>
      <c r="L50" s="22">
        <f t="shared" si="26"/>
        <v>4986.2074999999995</v>
      </c>
      <c r="M50" s="26">
        <f t="shared" si="28"/>
        <v>1267.2415</v>
      </c>
      <c r="N50" s="26">
        <f t="shared" si="29"/>
        <v>1991.3795</v>
      </c>
      <c r="O50" s="25"/>
      <c r="P50" s="22">
        <f t="shared" si="27"/>
        <v>6253.449</v>
      </c>
      <c r="Q50" s="24">
        <v>1000</v>
      </c>
      <c r="R50" s="22">
        <f t="shared" si="30"/>
        <v>14850.001</v>
      </c>
      <c r="S50" s="22"/>
      <c r="T50" s="27"/>
    </row>
    <row r="51" ht="34.95" customHeight="1" spans="1:20" x14ac:dyDescent="0.25">
      <c r="A51" s="19">
        <v>46</v>
      </c>
      <c r="B51" s="20" t="s">
        <v>97</v>
      </c>
      <c r="C51" s="19" t="s">
        <v>40</v>
      </c>
      <c r="D51" s="19" t="s">
        <v>53</v>
      </c>
      <c r="E51" s="19">
        <v>30</v>
      </c>
      <c r="F51" s="21">
        <v>7573.53</v>
      </c>
      <c r="G51" s="22">
        <f t="shared" si="23"/>
        <v>7573.53</v>
      </c>
      <c r="H51" s="23"/>
      <c r="I51" s="24">
        <f>2683.83/30*E51</f>
        <v>2683.83</v>
      </c>
      <c r="J51" s="25">
        <f t="shared" si="24"/>
        <v>10257.36</v>
      </c>
      <c r="K51" s="26">
        <f t="shared" si="25"/>
        <v>10257.36</v>
      </c>
      <c r="L51" s="22">
        <f t="shared" si="26"/>
        <v>1727.208</v>
      </c>
      <c r="M51" s="26">
        <f t="shared" si="28"/>
        <v>530.1471</v>
      </c>
      <c r="N51" s="26">
        <f t="shared" si="29"/>
        <v>833.0883</v>
      </c>
      <c r="O51" s="25"/>
      <c r="P51" s="22">
        <f t="shared" si="27"/>
        <v>2257.3551</v>
      </c>
      <c r="Q51" s="24">
        <f>1000+740</f>
        <v>1740</v>
      </c>
      <c r="R51" s="22">
        <f t="shared" si="30"/>
        <v>9740.0049</v>
      </c>
      <c r="S51" s="22"/>
      <c r="T51" s="27"/>
    </row>
    <row r="52" ht="34.95" customHeight="1" spans="1:20" x14ac:dyDescent="0.25">
      <c r="A52" s="19">
        <v>47</v>
      </c>
      <c r="B52" s="20" t="s">
        <v>98</v>
      </c>
      <c r="C52" s="19" t="s">
        <v>55</v>
      </c>
      <c r="D52" s="19" t="s">
        <v>43</v>
      </c>
      <c r="E52" s="19">
        <v>30</v>
      </c>
      <c r="F52" s="21">
        <v>28448.28</v>
      </c>
      <c r="G52" s="22">
        <f t="shared" si="23"/>
        <v>28448.28</v>
      </c>
      <c r="H52" s="23"/>
      <c r="I52" s="24"/>
      <c r="J52" s="25">
        <f t="shared" si="24"/>
        <v>28448.28</v>
      </c>
      <c r="K52" s="26">
        <f t="shared" si="25"/>
        <v>28448.28</v>
      </c>
      <c r="L52" s="22">
        <f t="shared" si="26"/>
        <v>7906.897999999999</v>
      </c>
      <c r="M52" s="26">
        <f t="shared" si="28"/>
        <v>1991.3796000000002</v>
      </c>
      <c r="N52" s="26">
        <f t="shared" si="29"/>
        <v>3129.3107999999997</v>
      </c>
      <c r="O52" s="25"/>
      <c r="P52" s="22">
        <f t="shared" si="27"/>
        <v>9898.2776</v>
      </c>
      <c r="Q52" s="24">
        <v>1500</v>
      </c>
      <c r="R52" s="22">
        <f t="shared" si="30"/>
        <v>20050.002399999998</v>
      </c>
      <c r="S52" s="22"/>
      <c r="T52" s="27"/>
    </row>
    <row r="53" ht="34.95" customHeight="1" spans="1:20" x14ac:dyDescent="0.25">
      <c r="A53" s="19">
        <v>48</v>
      </c>
      <c r="B53" s="32" t="s">
        <v>99</v>
      </c>
      <c r="C53" s="19" t="s">
        <v>100</v>
      </c>
      <c r="D53" s="19" t="s">
        <v>43</v>
      </c>
      <c r="E53" s="19">
        <v>9</v>
      </c>
      <c r="F53" s="21">
        <v>27500</v>
      </c>
      <c r="G53" s="22">
        <f t="shared" si="23"/>
        <v>8250</v>
      </c>
      <c r="H53" s="23"/>
      <c r="I53" s="24"/>
      <c r="J53" s="25">
        <f t="shared" si="24"/>
        <v>8250</v>
      </c>
      <c r="K53" s="26">
        <f t="shared" si="25"/>
        <v>8250</v>
      </c>
      <c r="L53" s="22">
        <f t="shared" si="26"/>
        <v>1212.5</v>
      </c>
      <c r="M53" s="26"/>
      <c r="N53" s="26"/>
      <c r="O53" s="25"/>
      <c r="P53" s="22">
        <f t="shared" si="27"/>
        <v>1212.5</v>
      </c>
      <c r="Q53" s="24">
        <f>2000/30*E53</f>
        <v>600</v>
      </c>
      <c r="R53" s="22">
        <f t="shared" si="30"/>
        <v>7637.5</v>
      </c>
      <c r="S53" s="22"/>
      <c r="T53" s="27"/>
    </row>
    <row r="54" ht="34.95" customHeight="1" spans="1:20" x14ac:dyDescent="0.25">
      <c r="A54" s="19">
        <v>49</v>
      </c>
      <c r="B54" s="20" t="s">
        <v>101</v>
      </c>
      <c r="C54" s="19" t="s">
        <v>102</v>
      </c>
      <c r="D54" s="19" t="s">
        <v>43</v>
      </c>
      <c r="E54" s="19">
        <v>30</v>
      </c>
      <c r="F54" s="21">
        <v>35344.83</v>
      </c>
      <c r="G54" s="22">
        <f t="shared" si="23"/>
        <v>35344.83</v>
      </c>
      <c r="H54" s="23"/>
      <c r="I54" s="24">
        <f>6153.85</f>
        <v>6153.85</v>
      </c>
      <c r="J54" s="25">
        <f t="shared" si="24"/>
        <v>41498.68</v>
      </c>
      <c r="K54" s="26">
        <f t="shared" si="25"/>
        <v>41498.68</v>
      </c>
      <c r="L54" s="22">
        <f t="shared" si="26"/>
        <v>12474.537999999999</v>
      </c>
      <c r="M54" s="26">
        <f t="shared" si="28"/>
        <v>2474.1381000000006</v>
      </c>
      <c r="N54" s="26">
        <f t="shared" si="29"/>
        <v>3887.9313</v>
      </c>
      <c r="O54" s="25"/>
      <c r="P54" s="22">
        <f t="shared" si="27"/>
        <v>14948.676099999999</v>
      </c>
      <c r="Q54" s="24">
        <v>2000</v>
      </c>
      <c r="R54" s="22">
        <f t="shared" si="30"/>
        <v>28550.003900000003</v>
      </c>
      <c r="S54" s="22"/>
      <c r="T54" s="27"/>
    </row>
    <row r="55" ht="34.95" customHeight="1" spans="1:20" x14ac:dyDescent="0.25">
      <c r="A55" s="19">
        <v>50</v>
      </c>
      <c r="B55" s="32" t="s">
        <v>103</v>
      </c>
      <c r="C55" s="19" t="s">
        <v>91</v>
      </c>
      <c r="D55" s="19" t="s">
        <v>24</v>
      </c>
      <c r="E55" s="19">
        <v>7</v>
      </c>
      <c r="F55" s="21">
        <v>18879.31</v>
      </c>
      <c r="G55" s="22">
        <f t="shared" si="23"/>
        <v>4405.172333333334</v>
      </c>
      <c r="H55" s="23"/>
      <c r="I55" s="24">
        <f>1538.46/30*E55</f>
        <v>358.97400000000005</v>
      </c>
      <c r="J55" s="25">
        <f t="shared" ref="J55" si="31">G55+H55+I55</f>
        <v>4764.146333333334</v>
      </c>
      <c r="K55" s="26">
        <f t="shared" ref="K55" si="32">G55+H55+I55</f>
        <v>4764.146333333334</v>
      </c>
      <c r="L55" s="22">
        <f t="shared" ref="L55" si="33">IF(K55&lt;=2000,(0),IF(K55&lt;=4000,(K55*0.15)-300,IF(K55&lt;=7000,(K55*0.2)-500,IF(K55&lt;=10000,(K55*0.25)-850,IF(K55&lt;=14000,(K55*0.3)-1350,IF(K55&gt;14000,(K55*0.35)-2050))))))</f>
        <v>452.82926666666685</v>
      </c>
      <c r="M55" s="26"/>
      <c r="N55" s="26"/>
      <c r="O55" s="25"/>
      <c r="P55" s="22">
        <f t="shared" ref="P55" si="34">L55+M55+O55</f>
        <v>452.82926666666685</v>
      </c>
      <c r="Q55" s="24">
        <f>1000/30*E55</f>
        <v>233.33333333333334</v>
      </c>
      <c r="R55" s="22">
        <f t="shared" ref="R55" si="35">J55-P55+Q55</f>
        <v>4544.6504</v>
      </c>
      <c r="S55" s="22"/>
      <c r="T55" s="27"/>
    </row>
    <row r="56" ht="34.95" customHeight="1" spans="1:20" x14ac:dyDescent="0.25">
      <c r="A56" s="19">
        <v>51</v>
      </c>
      <c r="B56" s="20" t="s">
        <v>104</v>
      </c>
      <c r="C56" s="19" t="s">
        <v>59</v>
      </c>
      <c r="D56" s="19" t="s">
        <v>65</v>
      </c>
      <c r="E56" s="19">
        <v>30</v>
      </c>
      <c r="F56" s="21">
        <v>9044.12</v>
      </c>
      <c r="G56" s="22">
        <f t="shared" si="23"/>
        <v>9044.12</v>
      </c>
      <c r="H56" s="23"/>
      <c r="I56" s="43">
        <v>2788.86</v>
      </c>
      <c r="J56" s="25">
        <f t="shared" si="24"/>
        <v>11832.980000000001</v>
      </c>
      <c r="K56" s="26">
        <f t="shared" si="25"/>
        <v>11832.980000000001</v>
      </c>
      <c r="L56" s="22">
        <f t="shared" si="26"/>
        <v>2199.8940000000002</v>
      </c>
      <c r="M56" s="26">
        <f t="shared" si="28"/>
        <v>633.0884000000001</v>
      </c>
      <c r="N56" s="26">
        <f t="shared" si="29"/>
        <v>994.8532000000001</v>
      </c>
      <c r="O56" s="25"/>
      <c r="P56" s="22">
        <f t="shared" si="27"/>
        <v>2832.9824000000003</v>
      </c>
      <c r="Q56" s="24">
        <v>1000</v>
      </c>
      <c r="R56" s="22">
        <f t="shared" si="30"/>
        <v>9999.9976</v>
      </c>
      <c r="S56" s="22"/>
      <c r="T56" s="27"/>
    </row>
    <row r="57" ht="34.95" customHeight="1" spans="1:20" x14ac:dyDescent="0.25">
      <c r="A57" s="19">
        <v>52</v>
      </c>
      <c r="B57" s="20" t="s">
        <v>105</v>
      </c>
      <c r="C57" s="19" t="s">
        <v>40</v>
      </c>
      <c r="D57" s="19" t="s">
        <v>38</v>
      </c>
      <c r="E57" s="19">
        <v>30</v>
      </c>
      <c r="F57" s="21">
        <v>8007.94</v>
      </c>
      <c r="G57" s="22">
        <f t="shared" si="23"/>
        <v>8007.94</v>
      </c>
      <c r="H57" s="23"/>
      <c r="I57" s="24">
        <f>2857.14</f>
        <v>2857.14</v>
      </c>
      <c r="J57" s="25">
        <f t="shared" si="24"/>
        <v>10865.08</v>
      </c>
      <c r="K57" s="26">
        <f t="shared" si="25"/>
        <v>10865.08</v>
      </c>
      <c r="L57" s="22">
        <f t="shared" si="26"/>
        <v>1909.524</v>
      </c>
      <c r="M57" s="26">
        <f t="shared" si="28"/>
        <v>560.5558</v>
      </c>
      <c r="N57" s="26">
        <f t="shared" si="29"/>
        <v>880.8734</v>
      </c>
      <c r="O57" s="25"/>
      <c r="P57" s="22">
        <f t="shared" si="27"/>
        <v>2470.0798</v>
      </c>
      <c r="Q57" s="24">
        <v>1000</v>
      </c>
      <c r="R57" s="22">
        <f t="shared" si="30"/>
        <v>9395.0002</v>
      </c>
      <c r="S57" s="22"/>
      <c r="T57" s="27"/>
    </row>
    <row r="58" ht="34.95" customHeight="1" spans="1:20" x14ac:dyDescent="0.25">
      <c r="A58" s="19">
        <v>53</v>
      </c>
      <c r="B58" s="20" t="s">
        <v>106</v>
      </c>
      <c r="C58" s="19" t="s">
        <v>33</v>
      </c>
      <c r="D58" s="19" t="s">
        <v>57</v>
      </c>
      <c r="E58" s="19">
        <v>30</v>
      </c>
      <c r="F58" s="21">
        <v>4794.52</v>
      </c>
      <c r="G58" s="22">
        <f t="shared" si="23"/>
        <v>4794.52</v>
      </c>
      <c r="H58" s="23"/>
      <c r="I58" s="29">
        <f>2654.34/30*E58</f>
        <v>2654.34</v>
      </c>
      <c r="J58" s="25">
        <f t="shared" si="24"/>
        <v>7448.860000000001</v>
      </c>
      <c r="K58" s="26">
        <f t="shared" si="25"/>
        <v>7448.860000000001</v>
      </c>
      <c r="L58" s="22">
        <f t="shared" si="26"/>
        <v>1012.2150000000001</v>
      </c>
      <c r="M58" s="26">
        <f t="shared" ref="M58" si="36">F58*0.07</f>
        <v>335.61640000000006</v>
      </c>
      <c r="N58" s="26">
        <f t="shared" ref="N58" si="37">F58*0.11</f>
        <v>527.3972</v>
      </c>
      <c r="O58" s="25"/>
      <c r="P58" s="22">
        <f t="shared" si="27"/>
        <v>1347.8314000000003</v>
      </c>
      <c r="Q58" s="25">
        <f>1000/30*E58</f>
        <v>1000.0000000000001</v>
      </c>
      <c r="R58" s="22">
        <f t="shared" si="30"/>
        <v>7101.028600000001</v>
      </c>
      <c r="S58" s="22"/>
      <c r="T58" s="27"/>
    </row>
    <row r="59" ht="34.95" customHeight="1" spans="1:20" x14ac:dyDescent="0.25">
      <c r="A59" s="19">
        <v>54</v>
      </c>
      <c r="B59" s="20" t="s">
        <v>107</v>
      </c>
      <c r="C59" s="19" t="s">
        <v>33</v>
      </c>
      <c r="D59" s="19" t="s">
        <v>29</v>
      </c>
      <c r="E59" s="19">
        <v>29</v>
      </c>
      <c r="F59" s="21">
        <v>4794.52</v>
      </c>
      <c r="G59" s="22">
        <f t="shared" si="23"/>
        <v>4634.702666666667</v>
      </c>
      <c r="H59" s="23"/>
      <c r="I59" s="29">
        <f>2519.64</f>
        <v>2519.64</v>
      </c>
      <c r="J59" s="25">
        <f t="shared" si="24"/>
        <v>7154.342666666667</v>
      </c>
      <c r="K59" s="26">
        <f t="shared" si="25"/>
        <v>7154.342666666667</v>
      </c>
      <c r="L59" s="22">
        <f t="shared" si="26"/>
        <v>938.5856666666668</v>
      </c>
      <c r="M59" s="26">
        <f t="shared" si="28"/>
        <v>335.61640000000006</v>
      </c>
      <c r="N59" s="26">
        <f t="shared" si="29"/>
        <v>527.3972</v>
      </c>
      <c r="O59" s="25"/>
      <c r="P59" s="22">
        <f t="shared" si="27"/>
        <v>1274.202066666667</v>
      </c>
      <c r="Q59" s="24">
        <f>1000</f>
        <v>1000</v>
      </c>
      <c r="R59" s="22">
        <f t="shared" si="30"/>
        <v>6880.140600000001</v>
      </c>
      <c r="S59" s="22"/>
      <c r="T59" s="27"/>
    </row>
    <row r="60" ht="34.95" customHeight="1" spans="1:20" x14ac:dyDescent="0.25">
      <c r="A60" s="19">
        <v>55</v>
      </c>
      <c r="B60" s="20" t="s">
        <v>108</v>
      </c>
      <c r="C60" s="19" t="s">
        <v>40</v>
      </c>
      <c r="D60" s="19" t="s">
        <v>35</v>
      </c>
      <c r="E60" s="19">
        <v>30</v>
      </c>
      <c r="F60" s="21">
        <v>7573.53</v>
      </c>
      <c r="G60" s="22">
        <f t="shared" si="23"/>
        <v>7573.53</v>
      </c>
      <c r="H60" s="23"/>
      <c r="I60" s="24">
        <f>2683.83/30*E60</f>
        <v>2683.83</v>
      </c>
      <c r="J60" s="25">
        <f t="shared" si="24"/>
        <v>10257.36</v>
      </c>
      <c r="K60" s="26">
        <f t="shared" si="25"/>
        <v>10257.36</v>
      </c>
      <c r="L60" s="22">
        <f t="shared" si="26"/>
        <v>1727.208</v>
      </c>
      <c r="M60" s="26">
        <f t="shared" si="28"/>
        <v>530.1471</v>
      </c>
      <c r="N60" s="26">
        <f t="shared" si="29"/>
        <v>833.0883</v>
      </c>
      <c r="O60" s="25"/>
      <c r="P60" s="22">
        <f t="shared" si="27"/>
        <v>2257.3551</v>
      </c>
      <c r="Q60" s="24">
        <f>1000/30*E60</f>
        <v>1000.0000000000001</v>
      </c>
      <c r="R60" s="22">
        <f t="shared" si="30"/>
        <v>9000.0049</v>
      </c>
      <c r="S60" s="22"/>
      <c r="T60" s="27"/>
    </row>
    <row r="61" ht="34.95" customHeight="1" spans="1:20" x14ac:dyDescent="0.25">
      <c r="A61" s="19">
        <v>56</v>
      </c>
      <c r="B61" s="20" t="s">
        <v>109</v>
      </c>
      <c r="C61" s="19" t="s">
        <v>28</v>
      </c>
      <c r="D61" s="19" t="s">
        <v>53</v>
      </c>
      <c r="E61" s="19">
        <v>30</v>
      </c>
      <c r="F61" s="21">
        <v>18103.45</v>
      </c>
      <c r="G61" s="22">
        <f t="shared" si="23"/>
        <v>18103.45</v>
      </c>
      <c r="H61" s="23">
        <v>2000</v>
      </c>
      <c r="I61" s="24">
        <f>1846.15*0</f>
        <v>0</v>
      </c>
      <c r="J61" s="25">
        <f t="shared" si="24"/>
        <v>20103.45</v>
      </c>
      <c r="K61" s="26">
        <f t="shared" si="25"/>
        <v>20103.45</v>
      </c>
      <c r="L61" s="22">
        <f t="shared" si="26"/>
        <v>4986.2074999999995</v>
      </c>
      <c r="M61" s="26">
        <f t="shared" si="28"/>
        <v>1267.2415</v>
      </c>
      <c r="N61" s="26">
        <f t="shared" si="29"/>
        <v>1991.3795</v>
      </c>
      <c r="O61" s="25"/>
      <c r="P61" s="22">
        <f t="shared" si="27"/>
        <v>6253.449</v>
      </c>
      <c r="Q61" s="24">
        <v>2000</v>
      </c>
      <c r="R61" s="22">
        <f t="shared" si="30"/>
        <v>15850.001</v>
      </c>
      <c r="S61" s="22"/>
      <c r="T61" s="27"/>
    </row>
    <row r="62" ht="34.95" customHeight="1" spans="1:20" x14ac:dyDescent="0.25">
      <c r="A62" s="19">
        <v>57</v>
      </c>
      <c r="B62" s="20" t="s">
        <v>110</v>
      </c>
      <c r="C62" s="19" t="s">
        <v>111</v>
      </c>
      <c r="D62" s="19" t="s">
        <v>43</v>
      </c>
      <c r="E62" s="19">
        <v>30</v>
      </c>
      <c r="F62" s="21">
        <v>22327.59</v>
      </c>
      <c r="G62" s="35">
        <f t="shared" si="23"/>
        <v>22327.59</v>
      </c>
      <c r="H62" s="23"/>
      <c r="I62" s="29">
        <v>7692.31</v>
      </c>
      <c r="J62" s="25">
        <f>G62+H62+I62</f>
        <v>30019.9</v>
      </c>
      <c r="K62" s="26">
        <f>G62+H62+I62</f>
        <v>30019.9</v>
      </c>
      <c r="L62" s="22">
        <f>IF(K62&lt;=2000,(0),IF(K62&lt;=4000,(K62*0.15)-300,IF(K62&lt;=7000,(K62*0.2)-500,IF(K62&lt;=10000,(K62*0.25)-850,IF(K62&lt;=14000,(K62*0.3)-1350,IF(K62&gt;14000,(K62*0.35)-2050))))))</f>
        <v>8456.965</v>
      </c>
      <c r="M62" s="26">
        <f t="shared" si="28"/>
        <v>1562.9313000000002</v>
      </c>
      <c r="N62" s="26">
        <f t="shared" si="29"/>
        <v>2456.0349</v>
      </c>
      <c r="O62" s="25"/>
      <c r="P62" s="22">
        <f t="shared" si="27"/>
        <v>10019.8963</v>
      </c>
      <c r="Q62" s="24">
        <v>2000</v>
      </c>
      <c r="R62" s="22">
        <f t="shared" si="30"/>
        <v>22000.0037</v>
      </c>
      <c r="S62" s="22"/>
      <c r="T62" s="27"/>
    </row>
    <row r="63" ht="34.95" customHeight="1" spans="1:20" x14ac:dyDescent="0.25">
      <c r="A63" s="19">
        <v>58</v>
      </c>
      <c r="B63" s="20" t="s">
        <v>112</v>
      </c>
      <c r="C63" s="19" t="s">
        <v>113</v>
      </c>
      <c r="D63" s="19" t="s">
        <v>43</v>
      </c>
      <c r="E63" s="19">
        <v>30</v>
      </c>
      <c r="F63" s="21">
        <v>70603.45</v>
      </c>
      <c r="G63" s="22">
        <f t="shared" ref="G63:G69" si="38">+F63/30*E63</f>
        <v>70603.45</v>
      </c>
      <c r="H63" s="23"/>
      <c r="I63" s="24"/>
      <c r="J63" s="25">
        <f t="shared" ref="J63:J70" si="39">G63+H63+I63</f>
        <v>70603.45</v>
      </c>
      <c r="K63" s="26">
        <f t="shared" ref="K63:K70" si="40">G63+H63+I63</f>
        <v>70603.45</v>
      </c>
      <c r="L63" s="22">
        <f t="shared" ref="L63:L70" si="41">IF(K63&lt;=2000,(0),IF(K63&lt;=4000,(K63*0.15)-300,IF(K63&lt;=7000,(K63*0.2)-500,IF(K63&lt;=10000,(K63*0.25)-850,IF(K63&lt;=14000,(K63*0.3)-1350,IF(K63&gt;14000,(K63*0.35)-2050))))))</f>
        <v>22661.207499999997</v>
      </c>
      <c r="M63" s="26">
        <f>F63*0.07</f>
        <v>4942.2415</v>
      </c>
      <c r="N63" s="26">
        <f>F63*0.11</f>
        <v>7766.3795</v>
      </c>
      <c r="O63" s="25"/>
      <c r="P63" s="22">
        <f t="shared" ref="P63:P75" si="42">L63+M63+O63</f>
        <v>27603.448999999997</v>
      </c>
      <c r="Q63" s="24"/>
      <c r="R63" s="22">
        <f t="shared" ref="R63:R94" si="43">J63-P63+Q63</f>
        <v>43000.001000000004</v>
      </c>
      <c r="S63" s="22"/>
      <c r="T63" s="27"/>
    </row>
    <row r="64" ht="34.95" customHeight="1" spans="1:20" x14ac:dyDescent="0.25">
      <c r="A64" s="19">
        <v>59</v>
      </c>
      <c r="B64" s="20" t="s">
        <v>114</v>
      </c>
      <c r="C64" s="19" t="s">
        <v>115</v>
      </c>
      <c r="D64" s="19" t="s">
        <v>43</v>
      </c>
      <c r="E64" s="19">
        <v>30</v>
      </c>
      <c r="F64" s="21">
        <v>8635.71</v>
      </c>
      <c r="G64" s="22">
        <f t="shared" si="38"/>
        <v>8635.71</v>
      </c>
      <c r="H64" s="23"/>
      <c r="I64" s="24"/>
      <c r="J64" s="25">
        <f t="shared" si="39"/>
        <v>8635.71</v>
      </c>
      <c r="K64" s="26">
        <f t="shared" si="40"/>
        <v>8635.71</v>
      </c>
      <c r="L64" s="22">
        <f t="shared" si="41"/>
        <v>1308.9274999999998</v>
      </c>
      <c r="M64" s="26"/>
      <c r="N64" s="26"/>
      <c r="O64" s="25"/>
      <c r="P64" s="22">
        <f t="shared" si="42"/>
        <v>1308.9274999999998</v>
      </c>
      <c r="Q64" s="24"/>
      <c r="R64" s="22">
        <f t="shared" si="43"/>
        <v>7326.782499999999</v>
      </c>
      <c r="S64" s="22"/>
      <c r="T64" s="27"/>
    </row>
    <row r="65" ht="34.95" customHeight="1" spans="1:20" x14ac:dyDescent="0.25">
      <c r="A65" s="19">
        <v>60</v>
      </c>
      <c r="B65" s="20" t="s">
        <v>116</v>
      </c>
      <c r="C65" s="19" t="s">
        <v>49</v>
      </c>
      <c r="D65" s="19" t="s">
        <v>43</v>
      </c>
      <c r="E65" s="19">
        <v>30</v>
      </c>
      <c r="F65" s="21">
        <v>22307.69</v>
      </c>
      <c r="G65" s="22">
        <f t="shared" si="38"/>
        <v>22307.69</v>
      </c>
      <c r="H65" s="23"/>
      <c r="I65" s="24"/>
      <c r="J65" s="25">
        <f t="shared" si="39"/>
        <v>22307.69</v>
      </c>
      <c r="K65" s="26">
        <f t="shared" si="40"/>
        <v>22307.69</v>
      </c>
      <c r="L65" s="22">
        <f t="shared" si="41"/>
        <v>5757.691499999999</v>
      </c>
      <c r="M65" s="26"/>
      <c r="N65" s="26"/>
      <c r="O65" s="25"/>
      <c r="P65" s="22">
        <f t="shared" si="42"/>
        <v>5757.691499999999</v>
      </c>
      <c r="Q65" s="24">
        <v>2000</v>
      </c>
      <c r="R65" s="22">
        <f t="shared" si="43"/>
        <v>18549.9985</v>
      </c>
      <c r="S65" s="22"/>
      <c r="T65" s="27"/>
    </row>
    <row r="66" ht="34.95" customHeight="1" spans="1:20" x14ac:dyDescent="0.25">
      <c r="A66" s="19">
        <v>61</v>
      </c>
      <c r="B66" s="20" t="s">
        <v>117</v>
      </c>
      <c r="C66" s="19" t="s">
        <v>118</v>
      </c>
      <c r="D66" s="19" t="s">
        <v>43</v>
      </c>
      <c r="E66" s="19">
        <v>30</v>
      </c>
      <c r="F66" s="21">
        <v>125775.86</v>
      </c>
      <c r="G66" s="22">
        <f t="shared" si="38"/>
        <v>125775.86000000002</v>
      </c>
      <c r="H66" s="23"/>
      <c r="I66" s="24"/>
      <c r="J66" s="25">
        <f t="shared" si="39"/>
        <v>125775.86000000002</v>
      </c>
      <c r="K66" s="26">
        <f t="shared" si="40"/>
        <v>125775.86000000002</v>
      </c>
      <c r="L66" s="22">
        <f t="shared" si="41"/>
        <v>41971.551</v>
      </c>
      <c r="M66" s="26">
        <f t="shared" ref="M66:M73" si="44">F66*0.07</f>
        <v>8804.310200000002</v>
      </c>
      <c r="N66" s="26">
        <f t="shared" ref="N66:N73" si="45">F66*0.11</f>
        <v>13835.3446</v>
      </c>
      <c r="O66" s="25"/>
      <c r="P66" s="22">
        <f t="shared" si="42"/>
        <v>50775.8612</v>
      </c>
      <c r="Q66" s="24"/>
      <c r="R66" s="22">
        <f t="shared" si="43"/>
        <v>74999.99880000002</v>
      </c>
      <c r="S66" s="22"/>
      <c r="T66" s="27"/>
    </row>
    <row r="67" ht="34.95" customHeight="1" spans="1:20" x14ac:dyDescent="0.25">
      <c r="A67" s="19">
        <v>62</v>
      </c>
      <c r="B67" s="20" t="s">
        <v>119</v>
      </c>
      <c r="C67" s="19" t="s">
        <v>23</v>
      </c>
      <c r="D67" s="19" t="s">
        <v>29</v>
      </c>
      <c r="E67" s="19">
        <v>30</v>
      </c>
      <c r="F67" s="21">
        <v>2000</v>
      </c>
      <c r="G67" s="22">
        <f t="shared" si="38"/>
        <v>2000.0000000000002</v>
      </c>
      <c r="H67" s="23"/>
      <c r="I67" s="24"/>
      <c r="J67" s="25">
        <f t="shared" si="39"/>
        <v>2000.0000000000002</v>
      </c>
      <c r="K67" s="26">
        <f t="shared" si="40"/>
        <v>2000.0000000000002</v>
      </c>
      <c r="L67" s="22">
        <f t="shared" si="41"/>
        <v>0</v>
      </c>
      <c r="M67" s="26"/>
      <c r="N67" s="26"/>
      <c r="O67" s="25"/>
      <c r="P67" s="22">
        <f t="shared" si="42"/>
        <v>0</v>
      </c>
      <c r="Q67" s="24"/>
      <c r="R67" s="22">
        <f t="shared" si="43"/>
        <v>2000.0000000000002</v>
      </c>
      <c r="S67" s="22"/>
      <c r="T67" s="27"/>
    </row>
    <row r="68" ht="34.95" customHeight="1" spans="1:20" x14ac:dyDescent="0.25">
      <c r="A68" s="19">
        <v>63</v>
      </c>
      <c r="B68" s="20" t="s">
        <v>120</v>
      </c>
      <c r="C68" s="45" t="s">
        <v>59</v>
      </c>
      <c r="D68" s="19" t="s">
        <v>29</v>
      </c>
      <c r="E68" s="19">
        <v>30</v>
      </c>
      <c r="F68" s="21">
        <v>9044.12</v>
      </c>
      <c r="G68" s="22">
        <f t="shared" si="38"/>
        <v>9044.12</v>
      </c>
      <c r="H68" s="23"/>
      <c r="I68" s="43">
        <v>2788.86</v>
      </c>
      <c r="J68" s="25">
        <f t="shared" si="39"/>
        <v>11832.980000000001</v>
      </c>
      <c r="K68" s="26">
        <f t="shared" si="40"/>
        <v>11832.980000000001</v>
      </c>
      <c r="L68" s="22">
        <f t="shared" si="41"/>
        <v>2199.8940000000002</v>
      </c>
      <c r="M68" s="26">
        <f>F68*0.07</f>
        <v>633.0884000000001</v>
      </c>
      <c r="N68" s="26">
        <f>F68*0.11</f>
        <v>994.8532000000001</v>
      </c>
      <c r="O68" s="25"/>
      <c r="P68" s="22">
        <f>L68+M68+O68</f>
        <v>2832.9824000000003</v>
      </c>
      <c r="Q68" s="24">
        <f>1000</f>
        <v>1000</v>
      </c>
      <c r="R68" s="22">
        <f>J68-P68+Q68</f>
        <v>9999.9976</v>
      </c>
      <c r="S68" s="22"/>
      <c r="T68" s="27"/>
    </row>
    <row r="69" ht="34.95" customHeight="1" spans="1:20" x14ac:dyDescent="0.25">
      <c r="A69" s="19">
        <v>64</v>
      </c>
      <c r="B69" s="46" t="s">
        <v>121</v>
      </c>
      <c r="C69" s="19" t="s">
        <v>122</v>
      </c>
      <c r="D69" s="19" t="s">
        <v>29</v>
      </c>
      <c r="E69" s="19">
        <v>30</v>
      </c>
      <c r="F69" s="21">
        <v>35344.83</v>
      </c>
      <c r="G69" s="22">
        <f t="shared" si="38"/>
        <v>35344.83</v>
      </c>
      <c r="H69" s="23"/>
      <c r="I69" s="24">
        <f>1846.15*0</f>
        <v>0</v>
      </c>
      <c r="J69" s="25">
        <f t="shared" si="39"/>
        <v>35344.83</v>
      </c>
      <c r="K69" s="26">
        <f t="shared" si="40"/>
        <v>35344.83</v>
      </c>
      <c r="L69" s="22">
        <f t="shared" si="41"/>
        <v>10320.6905</v>
      </c>
      <c r="M69" s="26">
        <f>F69*0.07</f>
        <v>2474.1381000000006</v>
      </c>
      <c r="N69" s="26">
        <f>F69*0.11</f>
        <v>3887.9313</v>
      </c>
      <c r="O69" s="25"/>
      <c r="P69" s="22">
        <f t="shared" si="42"/>
        <v>12794.8286</v>
      </c>
      <c r="Q69" s="24">
        <v>2000</v>
      </c>
      <c r="R69" s="22">
        <f t="shared" si="43"/>
        <v>24550.0014</v>
      </c>
      <c r="S69" s="22"/>
      <c r="T69" s="27"/>
    </row>
    <row r="70" ht="34.95" customHeight="1" spans="1:20" x14ac:dyDescent="0.25">
      <c r="A70" s="19">
        <v>65</v>
      </c>
      <c r="B70" s="20" t="s">
        <v>123</v>
      </c>
      <c r="C70" s="19" t="s">
        <v>59</v>
      </c>
      <c r="D70" s="19" t="s">
        <v>26</v>
      </c>
      <c r="E70" s="19">
        <v>13</v>
      </c>
      <c r="F70" s="21">
        <v>9044.12</v>
      </c>
      <c r="G70" s="22">
        <f t="shared" ref="G70:G83" si="46">+F70/30*E70</f>
        <v>3919.118666666667</v>
      </c>
      <c r="H70" s="23"/>
      <c r="I70" s="43">
        <v>2788.86</v>
      </c>
      <c r="J70" s="25">
        <f t="shared" si="39"/>
        <v>6707.978666666668</v>
      </c>
      <c r="K70" s="26">
        <f t="shared" si="40"/>
        <v>6707.978666666668</v>
      </c>
      <c r="L70" s="22">
        <f t="shared" si="41"/>
        <v>841.5957333333336</v>
      </c>
      <c r="M70" s="26">
        <f t="shared" si="44"/>
        <v>633.0884000000001</v>
      </c>
      <c r="N70" s="26">
        <f t="shared" si="45"/>
        <v>994.8532000000001</v>
      </c>
      <c r="O70" s="40">
        <v>1000</v>
      </c>
      <c r="P70" s="22">
        <f t="shared" si="42"/>
        <v>2474.6841333333336</v>
      </c>
      <c r="Q70" s="24">
        <v>1000</v>
      </c>
      <c r="R70" s="22">
        <f t="shared" si="43"/>
        <v>5233.294533333334</v>
      </c>
      <c r="S70" s="22"/>
      <c r="T70" s="27"/>
    </row>
    <row r="71" ht="34.95" customHeight="1" spans="1:20" x14ac:dyDescent="0.25">
      <c r="A71" s="19">
        <v>66</v>
      </c>
      <c r="B71" s="32" t="s">
        <v>124</v>
      </c>
      <c r="C71" s="19" t="s">
        <v>64</v>
      </c>
      <c r="D71" s="19" t="s">
        <v>95</v>
      </c>
      <c r="E71" s="19">
        <v>30</v>
      </c>
      <c r="F71" s="21">
        <v>1000</v>
      </c>
      <c r="G71" s="22">
        <f t="shared" si="46"/>
        <v>1000.0000000000001</v>
      </c>
      <c r="H71" s="23"/>
      <c r="I71" s="43"/>
      <c r="J71" s="25">
        <f t="shared" ref="J71:J72" si="47">G71+H71+I71</f>
        <v>1000.0000000000001</v>
      </c>
      <c r="K71" s="26">
        <f t="shared" ref="K71:K72" si="48">G71+H71+I71</f>
        <v>1000.0000000000001</v>
      </c>
      <c r="L71" s="22">
        <f t="shared" ref="L71:L72" si="49">IF(K71&lt;=2000,(0),IF(K71&lt;=4000,(K71*0.15)-300,IF(K71&lt;=7000,(K71*0.2)-500,IF(K71&lt;=10000,(K71*0.25)-850,IF(K71&lt;=14000,(K71*0.3)-1350,IF(K71&gt;14000,(K71*0.35)-2050))))))</f>
        <v>0</v>
      </c>
      <c r="M71" s="26"/>
      <c r="N71" s="26"/>
      <c r="O71" s="25"/>
      <c r="P71" s="22">
        <f t="shared" si="42"/>
        <v>0</v>
      </c>
      <c r="Q71" s="24"/>
      <c r="R71" s="22">
        <f t="shared" si="43"/>
        <v>1000.0000000000001</v>
      </c>
      <c r="S71" s="22"/>
      <c r="T71" s="27"/>
    </row>
    <row r="72" ht="34.95" customHeight="1" spans="1:20" x14ac:dyDescent="0.25">
      <c r="A72" s="19">
        <v>67</v>
      </c>
      <c r="B72" s="32" t="s">
        <v>125</v>
      </c>
      <c r="C72" s="19" t="s">
        <v>64</v>
      </c>
      <c r="D72" s="19" t="s">
        <v>57</v>
      </c>
      <c r="E72" s="19">
        <v>30</v>
      </c>
      <c r="F72" s="21">
        <v>1500</v>
      </c>
      <c r="G72" s="22">
        <f t="shared" si="46"/>
        <v>1500</v>
      </c>
      <c r="H72" s="23"/>
      <c r="I72" s="43"/>
      <c r="J72" s="25">
        <f t="shared" si="47"/>
        <v>1500</v>
      </c>
      <c r="K72" s="26">
        <f t="shared" si="48"/>
        <v>1500</v>
      </c>
      <c r="L72" s="22">
        <f t="shared" si="49"/>
        <v>0</v>
      </c>
      <c r="M72" s="26"/>
      <c r="N72" s="26"/>
      <c r="O72" s="25"/>
      <c r="P72" s="22">
        <f t="shared" si="42"/>
        <v>0</v>
      </c>
      <c r="Q72" s="24"/>
      <c r="R72" s="22">
        <f t="shared" si="43"/>
        <v>1500</v>
      </c>
      <c r="S72" s="22"/>
      <c r="T72" s="27"/>
    </row>
    <row r="73" ht="34.95" customHeight="1" spans="1:20" x14ac:dyDescent="0.25">
      <c r="A73" s="19">
        <v>68</v>
      </c>
      <c r="B73" s="20" t="s">
        <v>126</v>
      </c>
      <c r="C73" s="19" t="s">
        <v>23</v>
      </c>
      <c r="D73" s="19" t="s">
        <v>62</v>
      </c>
      <c r="E73" s="19">
        <v>30</v>
      </c>
      <c r="F73" s="21">
        <v>2820.51</v>
      </c>
      <c r="G73" s="22">
        <f t="shared" si="46"/>
        <v>2820.51</v>
      </c>
      <c r="H73" s="23"/>
      <c r="I73" s="24"/>
      <c r="J73" s="25">
        <f t="shared" ref="J73:J88" si="50">G73+H73+I73</f>
        <v>2820.51</v>
      </c>
      <c r="K73" s="26">
        <f t="shared" ref="K73:K86" si="51">G73+H73+I73</f>
        <v>2820.51</v>
      </c>
      <c r="L73" s="22">
        <f t="shared" ref="L73:L89" si="52">IF(K73&lt;=2000,(0),IF(K73&lt;=4000,(K73*0.15)-300,IF(K73&lt;=7000,(K73*0.2)-500,IF(K73&lt;=10000,(K73*0.25)-850,IF(K73&lt;=14000,(K73*0.3)-1350,IF(K73&gt;14000,(K73*0.35)-2050))))))</f>
        <v>123.07650000000001</v>
      </c>
      <c r="M73" s="26">
        <f t="shared" si="44"/>
        <v>197.43570000000003</v>
      </c>
      <c r="N73" s="26">
        <f t="shared" si="45"/>
        <v>310.2561</v>
      </c>
      <c r="O73" s="25"/>
      <c r="P73" s="22">
        <f t="shared" si="42"/>
        <v>320.5122</v>
      </c>
      <c r="Q73" s="25"/>
      <c r="R73" s="22">
        <f t="shared" si="43"/>
        <v>2499.9978</v>
      </c>
      <c r="S73" s="22"/>
      <c r="T73" s="27"/>
    </row>
    <row r="74" ht="34.95" customHeight="1" spans="1:20" x14ac:dyDescent="0.25">
      <c r="A74" s="19">
        <v>69</v>
      </c>
      <c r="B74" s="20" t="s">
        <v>127</v>
      </c>
      <c r="C74" s="19" t="s">
        <v>40</v>
      </c>
      <c r="D74" s="19" t="s">
        <v>26</v>
      </c>
      <c r="E74" s="19">
        <v>30</v>
      </c>
      <c r="F74" s="21">
        <v>7573.53</v>
      </c>
      <c r="G74" s="22">
        <f t="shared" si="46"/>
        <v>7573.53</v>
      </c>
      <c r="H74" s="23"/>
      <c r="I74" s="24">
        <f>2683.83/30*E74</f>
        <v>2683.83</v>
      </c>
      <c r="J74" s="25">
        <f t="shared" si="50"/>
        <v>10257.36</v>
      </c>
      <c r="K74" s="26">
        <f t="shared" si="51"/>
        <v>10257.36</v>
      </c>
      <c r="L74" s="22">
        <f t="shared" si="52"/>
        <v>1727.208</v>
      </c>
      <c r="M74" s="26">
        <f t="shared" ref="M74:M80" si="53">F74*0.07</f>
        <v>530.1471</v>
      </c>
      <c r="N74" s="26">
        <f>F74*0.11</f>
        <v>833.0883</v>
      </c>
      <c r="O74" s="25"/>
      <c r="P74" s="22">
        <f t="shared" si="42"/>
        <v>2257.3551</v>
      </c>
      <c r="Q74" s="24">
        <f>1000/30*E74</f>
        <v>1000.0000000000001</v>
      </c>
      <c r="R74" s="22">
        <f t="shared" si="43"/>
        <v>9000.0049</v>
      </c>
      <c r="S74" s="22"/>
      <c r="T74" s="27"/>
    </row>
    <row r="75" ht="34.95" customHeight="1" spans="1:20" x14ac:dyDescent="0.25">
      <c r="A75" s="19">
        <v>70</v>
      </c>
      <c r="B75" s="20" t="s">
        <v>128</v>
      </c>
      <c r="C75" s="19" t="s">
        <v>59</v>
      </c>
      <c r="D75" s="19" t="s">
        <v>38</v>
      </c>
      <c r="E75" s="19">
        <v>30</v>
      </c>
      <c r="F75" s="21">
        <v>9044.12</v>
      </c>
      <c r="G75" s="22">
        <f t="shared" si="46"/>
        <v>9044.12</v>
      </c>
      <c r="H75" s="23"/>
      <c r="I75" s="43">
        <v>2788.86</v>
      </c>
      <c r="J75" s="25">
        <f t="shared" si="50"/>
        <v>11832.980000000001</v>
      </c>
      <c r="K75" s="26">
        <f t="shared" si="51"/>
        <v>11832.980000000001</v>
      </c>
      <c r="L75" s="22">
        <f t="shared" si="52"/>
        <v>2199.8940000000002</v>
      </c>
      <c r="M75" s="26">
        <f t="shared" si="53"/>
        <v>633.0884000000001</v>
      </c>
      <c r="N75" s="26">
        <f>G75*0.11</f>
        <v>994.8532000000001</v>
      </c>
      <c r="O75" s="25"/>
      <c r="P75" s="22">
        <f t="shared" si="42"/>
        <v>2832.9824000000003</v>
      </c>
      <c r="Q75" s="24">
        <v>1000</v>
      </c>
      <c r="R75" s="22">
        <f t="shared" si="43"/>
        <v>9999.9976</v>
      </c>
      <c r="S75" s="22"/>
      <c r="T75" s="27"/>
    </row>
    <row r="76" ht="34.95" customHeight="1" spans="1:20" x14ac:dyDescent="0.25">
      <c r="A76" s="19">
        <v>71</v>
      </c>
      <c r="B76" s="20" t="s">
        <v>129</v>
      </c>
      <c r="C76" s="19" t="s">
        <v>28</v>
      </c>
      <c r="D76" s="19" t="s">
        <v>60</v>
      </c>
      <c r="E76" s="19">
        <v>30</v>
      </c>
      <c r="F76" s="21">
        <v>21724.14</v>
      </c>
      <c r="G76" s="21">
        <f t="shared" si="46"/>
        <v>21724.14</v>
      </c>
      <c r="H76" s="22">
        <v>3000</v>
      </c>
      <c r="I76" s="24">
        <f>1846.15*0</f>
        <v>0</v>
      </c>
      <c r="J76" s="25">
        <f t="shared" si="50"/>
        <v>24724.14</v>
      </c>
      <c r="K76" s="26">
        <f t="shared" si="51"/>
        <v>24724.14</v>
      </c>
      <c r="L76" s="22">
        <f t="shared" si="52"/>
        <v>6603.448999999999</v>
      </c>
      <c r="M76" s="26">
        <f t="shared" si="53"/>
        <v>1520.6898</v>
      </c>
      <c r="N76" s="26">
        <f>F76*0.11</f>
        <v>2389.6554</v>
      </c>
      <c r="O76" s="25"/>
      <c r="P76" s="22">
        <f>L76+M77+O76</f>
        <v>7133.596099999999</v>
      </c>
      <c r="Q76" s="24">
        <f>2000</f>
        <v>2000</v>
      </c>
      <c r="R76" s="22">
        <f t="shared" si="43"/>
        <v>19590.5439</v>
      </c>
      <c r="S76" s="22"/>
      <c r="T76" s="27"/>
    </row>
    <row r="77" ht="34.95" customHeight="1" spans="1:20" x14ac:dyDescent="0.25">
      <c r="A77" s="19">
        <v>72</v>
      </c>
      <c r="B77" s="20" t="s">
        <v>130</v>
      </c>
      <c r="C77" s="19" t="s">
        <v>40</v>
      </c>
      <c r="D77" s="19" t="s">
        <v>79</v>
      </c>
      <c r="E77" s="19">
        <v>30</v>
      </c>
      <c r="F77" s="21">
        <v>7573.53</v>
      </c>
      <c r="G77" s="22">
        <f t="shared" si="46"/>
        <v>7573.53</v>
      </c>
      <c r="H77" s="23"/>
      <c r="I77" s="24">
        <f>2683.83/30*E77</f>
        <v>2683.83</v>
      </c>
      <c r="J77" s="25">
        <f>G77+H77+I77</f>
        <v>10257.36</v>
      </c>
      <c r="K77" s="26">
        <f>G77+H77+I77</f>
        <v>10257.36</v>
      </c>
      <c r="L77" s="22">
        <f>IF(K77&lt;=2000,(0),IF(K77&lt;=4000,(K77*0.15)-300,IF(K77&lt;=7000,(K77*0.2)-500,IF(K77&lt;=10000,(K77*0.25)-850,IF(K77&lt;=14000,(K77*0.3)-1350,IF(K77&gt;14000,(K77*0.35)-2050))))))</f>
        <v>1727.208</v>
      </c>
      <c r="M77" s="26">
        <f t="shared" si="53"/>
        <v>530.1471</v>
      </c>
      <c r="N77" s="26">
        <f>G77*0.11</f>
        <v>833.0883</v>
      </c>
      <c r="O77" s="25"/>
      <c r="P77" s="22">
        <f>L77+M77+O77</f>
        <v>2257.3551</v>
      </c>
      <c r="Q77" s="24">
        <f>1000/30*E77</f>
        <v>1000.0000000000001</v>
      </c>
      <c r="R77" s="22">
        <f t="shared" si="43"/>
        <v>9000.0049</v>
      </c>
      <c r="S77" s="22"/>
      <c r="T77" s="27"/>
    </row>
    <row r="78" ht="34.95" customHeight="1" spans="1:20" x14ac:dyDescent="0.25">
      <c r="A78" s="19">
        <v>73</v>
      </c>
      <c r="B78" s="20" t="s">
        <v>131</v>
      </c>
      <c r="C78" s="19" t="s">
        <v>132</v>
      </c>
      <c r="D78" s="19" t="s">
        <v>24</v>
      </c>
      <c r="E78" s="19">
        <v>30</v>
      </c>
      <c r="F78" s="21">
        <v>11206.9</v>
      </c>
      <c r="G78" s="22">
        <f t="shared" si="46"/>
        <v>11206.9</v>
      </c>
      <c r="H78" s="23"/>
      <c r="I78" s="24">
        <f>3076.92*0.5</f>
        <v>1538.46</v>
      </c>
      <c r="J78" s="25">
        <f t="shared" si="50"/>
        <v>12745.36</v>
      </c>
      <c r="K78" s="26">
        <f t="shared" si="51"/>
        <v>12745.36</v>
      </c>
      <c r="L78" s="22">
        <f t="shared" si="52"/>
        <v>2473.608</v>
      </c>
      <c r="M78" s="26">
        <f t="shared" si="53"/>
        <v>784.4830000000001</v>
      </c>
      <c r="N78" s="26">
        <f>F78*0.11</f>
        <v>1232.759</v>
      </c>
      <c r="O78" s="25"/>
      <c r="P78" s="22">
        <f t="shared" ref="P78:P87" si="54">L78+M78+O78</f>
        <v>3258.0910000000003</v>
      </c>
      <c r="Q78" s="24"/>
      <c r="R78" s="22">
        <f t="shared" si="43"/>
        <v>9487.269</v>
      </c>
      <c r="S78" s="22"/>
      <c r="T78" s="27"/>
    </row>
    <row r="79" ht="34.95" customHeight="1" spans="1:20" x14ac:dyDescent="0.25">
      <c r="A79" s="19">
        <v>74</v>
      </c>
      <c r="B79" s="20" t="s">
        <v>133</v>
      </c>
      <c r="C79" s="19" t="s">
        <v>55</v>
      </c>
      <c r="D79" s="19" t="s">
        <v>43</v>
      </c>
      <c r="E79" s="19">
        <v>30</v>
      </c>
      <c r="F79" s="21">
        <v>39568.97</v>
      </c>
      <c r="G79" s="22">
        <f t="shared" si="46"/>
        <v>39568.97</v>
      </c>
      <c r="H79" s="23"/>
      <c r="I79" s="24">
        <v>3076.92</v>
      </c>
      <c r="J79" s="25">
        <f t="shared" si="50"/>
        <v>42645.89</v>
      </c>
      <c r="K79" s="26">
        <f t="shared" si="51"/>
        <v>42645.89</v>
      </c>
      <c r="L79" s="22">
        <f t="shared" si="52"/>
        <v>12876.061499999998</v>
      </c>
      <c r="M79" s="26">
        <f t="shared" si="53"/>
        <v>2769.8279</v>
      </c>
      <c r="N79" s="26">
        <f>F79*0.11</f>
        <v>4352.5867</v>
      </c>
      <c r="O79" s="25"/>
      <c r="P79" s="22">
        <f t="shared" si="54"/>
        <v>15645.889399999998</v>
      </c>
      <c r="Q79" s="24">
        <v>1500</v>
      </c>
      <c r="R79" s="22">
        <f t="shared" si="43"/>
        <v>28500.0006</v>
      </c>
      <c r="S79" s="22"/>
      <c r="T79" s="27"/>
    </row>
    <row r="80" ht="34.95" customHeight="1" spans="1:20" x14ac:dyDescent="0.25">
      <c r="A80" s="19">
        <v>75</v>
      </c>
      <c r="B80" s="46" t="s">
        <v>134</v>
      </c>
      <c r="C80" s="19" t="s">
        <v>122</v>
      </c>
      <c r="D80" s="19" t="s">
        <v>26</v>
      </c>
      <c r="E80" s="19">
        <v>30</v>
      </c>
      <c r="F80" s="21">
        <v>35344.83</v>
      </c>
      <c r="G80" s="22">
        <f t="shared" si="46"/>
        <v>35344.83</v>
      </c>
      <c r="H80" s="23"/>
      <c r="I80" s="24">
        <f>1846.15*0</f>
        <v>0</v>
      </c>
      <c r="J80" s="25">
        <f t="shared" si="50"/>
        <v>35344.83</v>
      </c>
      <c r="K80" s="26">
        <f>G80+H80+I80</f>
        <v>35344.83</v>
      </c>
      <c r="L80" s="22">
        <f>IF(K80&lt;=2000,(0),IF(K80&lt;=4000,(K80*0.15)-300,IF(K80&lt;=7000,(K80*0.2)-500,IF(K80&lt;=10000,(K80*0.25)-850,IF(K80&lt;=14000,(K80*0.3)-1350,IF(K80&gt;14000,(K80*0.35)-2050))))))</f>
        <v>10320.6905</v>
      </c>
      <c r="M80" s="26">
        <f t="shared" si="53"/>
        <v>2474.1381000000006</v>
      </c>
      <c r="N80" s="26">
        <f>F80*0.11</f>
        <v>3887.9313</v>
      </c>
      <c r="O80" s="25"/>
      <c r="P80" s="22">
        <f t="shared" si="54"/>
        <v>12794.8286</v>
      </c>
      <c r="Q80" s="24">
        <v>2000</v>
      </c>
      <c r="R80" s="22">
        <f t="shared" si="43"/>
        <v>24550.0014</v>
      </c>
      <c r="S80" s="22"/>
      <c r="T80" s="27"/>
    </row>
    <row r="81" ht="34.95" customHeight="1" spans="1:20" x14ac:dyDescent="0.25">
      <c r="A81" s="19">
        <v>76</v>
      </c>
      <c r="B81" s="20" t="s">
        <v>135</v>
      </c>
      <c r="C81" s="19" t="s">
        <v>136</v>
      </c>
      <c r="D81" s="19" t="s">
        <v>43</v>
      </c>
      <c r="E81" s="19">
        <v>30</v>
      </c>
      <c r="F81" s="21">
        <v>23275.87</v>
      </c>
      <c r="G81" s="22">
        <f t="shared" si="46"/>
        <v>23275.87</v>
      </c>
      <c r="H81" s="23"/>
      <c r="I81" s="24"/>
      <c r="J81" s="25">
        <f>G81+H81+I81</f>
        <v>23275.87</v>
      </c>
      <c r="K81" s="26">
        <f>G81+H81+I81</f>
        <v>23275.87</v>
      </c>
      <c r="L81" s="22">
        <f t="shared" si="52"/>
        <v>6096.554499999999</v>
      </c>
      <c r="M81" s="26">
        <f>F81*0.07</f>
        <v>1629.3109000000002</v>
      </c>
      <c r="N81" s="26">
        <f>F81*0.11</f>
        <v>2560.3457</v>
      </c>
      <c r="O81" s="25"/>
      <c r="P81" s="22">
        <f t="shared" si="54"/>
        <v>7725.8654</v>
      </c>
      <c r="Q81" s="24"/>
      <c r="R81" s="22">
        <f t="shared" si="43"/>
        <v>15550.0046</v>
      </c>
      <c r="S81" s="22"/>
      <c r="T81" s="27"/>
    </row>
    <row r="82" ht="34.95" customHeight="1" spans="1:20" x14ac:dyDescent="0.25">
      <c r="A82" s="19">
        <v>77</v>
      </c>
      <c r="B82" s="20" t="s">
        <v>137</v>
      </c>
      <c r="C82" s="19" t="s">
        <v>91</v>
      </c>
      <c r="D82" s="19" t="s">
        <v>62</v>
      </c>
      <c r="E82" s="19">
        <v>30</v>
      </c>
      <c r="F82" s="21">
        <v>17155.18</v>
      </c>
      <c r="G82" s="22">
        <f t="shared" si="46"/>
        <v>17155.18</v>
      </c>
      <c r="H82" s="23"/>
      <c r="I82" s="24">
        <f>1846.15*0</f>
        <v>0</v>
      </c>
      <c r="J82" s="25">
        <f>G82+H82+I82</f>
        <v>17155.18</v>
      </c>
      <c r="K82" s="26">
        <f>G82+H82+I82</f>
        <v>17155.18</v>
      </c>
      <c r="L82" s="22">
        <f t="shared" si="52"/>
        <v>3954.313</v>
      </c>
      <c r="M82" s="26"/>
      <c r="N82" s="26"/>
      <c r="O82" s="25"/>
      <c r="P82" s="22">
        <f t="shared" si="54"/>
        <v>3954.313</v>
      </c>
      <c r="Q82" s="24">
        <v>1000</v>
      </c>
      <c r="R82" s="22">
        <f t="shared" si="43"/>
        <v>14200.867</v>
      </c>
      <c r="S82" s="22"/>
      <c r="T82" s="27"/>
    </row>
    <row r="83" ht="34.95" customHeight="1" spans="1:20" x14ac:dyDescent="0.25">
      <c r="A83" s="19">
        <v>78</v>
      </c>
      <c r="B83" s="20" t="s">
        <v>138</v>
      </c>
      <c r="C83" s="19" t="s">
        <v>139</v>
      </c>
      <c r="D83" s="19" t="s">
        <v>43</v>
      </c>
      <c r="E83" s="19">
        <v>30</v>
      </c>
      <c r="F83" s="21">
        <v>65431.03</v>
      </c>
      <c r="G83" s="22">
        <f t="shared" si="46"/>
        <v>65431.030000000006</v>
      </c>
      <c r="H83" s="23"/>
      <c r="I83" s="24"/>
      <c r="J83" s="25">
        <f>G83+H83+I83</f>
        <v>65431.030000000006</v>
      </c>
      <c r="K83" s="26">
        <f>G83+H83+I83</f>
        <v>65431.030000000006</v>
      </c>
      <c r="L83" s="22">
        <f>IF(K83&lt;=2000,(0),IF(K83&lt;=4000,(K83*0.15)-300,IF(K83&lt;=7000,(K83*0.2)-500,IF(K83&lt;=10000,(K83*0.25)-850,IF(K83&lt;=14000,(K83*0.3)-1350,IF(K83&gt;14000,(K83*0.35)-2050))))))</f>
        <v>20850.860500000003</v>
      </c>
      <c r="M83" s="26">
        <f>F83*0.07</f>
        <v>4580.172100000001</v>
      </c>
      <c r="N83" s="26"/>
      <c r="O83" s="25"/>
      <c r="P83" s="22">
        <f>L83+M83+O83</f>
        <v>25431.032600000002</v>
      </c>
      <c r="Q83" s="24"/>
      <c r="R83" s="22">
        <f t="shared" si="43"/>
        <v>39999.99740000001</v>
      </c>
      <c r="S83" s="22"/>
      <c r="T83" s="27"/>
    </row>
    <row r="84" ht="34.95" customHeight="1" spans="1:20" x14ac:dyDescent="0.25">
      <c r="A84" s="19">
        <v>79</v>
      </c>
      <c r="B84" s="20" t="s">
        <v>140</v>
      </c>
      <c r="C84" s="19" t="s">
        <v>28</v>
      </c>
      <c r="D84" s="19" t="s">
        <v>35</v>
      </c>
      <c r="E84" s="19">
        <v>30</v>
      </c>
      <c r="F84" s="21">
        <v>21724.14</v>
      </c>
      <c r="G84" s="22">
        <f t="shared" ref="G84:G104" si="55">+F84/30*E84</f>
        <v>21724.14</v>
      </c>
      <c r="H84" s="23">
        <f>6463+12403</f>
        <v>18866</v>
      </c>
      <c r="I84" s="24">
        <f>1846.15*0</f>
        <v>0</v>
      </c>
      <c r="J84" s="25">
        <f t="shared" si="50"/>
        <v>40590.14</v>
      </c>
      <c r="K84" s="26">
        <f t="shared" si="51"/>
        <v>40590.14</v>
      </c>
      <c r="L84" s="22">
        <f t="shared" si="52"/>
        <v>12156.548999999999</v>
      </c>
      <c r="M84" s="26">
        <f>F84*0.07</f>
        <v>1520.6898</v>
      </c>
      <c r="N84" s="26">
        <f t="shared" ref="N84:N92" si="56">F84*0.11</f>
        <v>2389.6554</v>
      </c>
      <c r="O84" s="25"/>
      <c r="P84" s="22">
        <f>L84+M84+O84</f>
        <v>13677.2388</v>
      </c>
      <c r="Q84" s="24">
        <f>2000</f>
        <v>2000</v>
      </c>
      <c r="R84" s="22">
        <f t="shared" si="43"/>
        <v>28912.9012</v>
      </c>
      <c r="S84" s="22"/>
      <c r="T84" s="27"/>
    </row>
    <row r="85" ht="34.95" customHeight="1" spans="1:20" x14ac:dyDescent="0.25">
      <c r="A85" s="19">
        <v>80</v>
      </c>
      <c r="B85" s="46" t="s">
        <v>141</v>
      </c>
      <c r="C85" s="19" t="s">
        <v>122</v>
      </c>
      <c r="D85" s="19" t="s">
        <v>38</v>
      </c>
      <c r="E85" s="19">
        <v>30</v>
      </c>
      <c r="F85" s="21">
        <v>35344.83</v>
      </c>
      <c r="G85" s="22">
        <f t="shared" si="55"/>
        <v>35344.83</v>
      </c>
      <c r="H85" s="23">
        <f>3400+1600</f>
        <v>5000</v>
      </c>
      <c r="I85" s="24">
        <f>1846.15*0</f>
        <v>0</v>
      </c>
      <c r="J85" s="25">
        <f t="shared" si="50"/>
        <v>40344.83</v>
      </c>
      <c r="K85" s="26">
        <f>G85+H85+I85</f>
        <v>40344.83</v>
      </c>
      <c r="L85" s="22">
        <f>IF(K85&lt;=2000,(0),IF(K85&lt;=4000,(K85*0.15)-300,IF(K85&lt;=7000,(K85*0.2)-500,IF(K85&lt;=10000,(K85*0.25)-850,IF(K85&lt;=14000,(K85*0.3)-1350,IF(K85&gt;14000,(K85*0.35)-2050))))))</f>
        <v>12070.6905</v>
      </c>
      <c r="M85" s="26">
        <f t="shared" ref="M85:M92" si="57">F85*0.07</f>
        <v>2474.1381000000006</v>
      </c>
      <c r="N85" s="26">
        <f t="shared" si="56"/>
        <v>3887.9313</v>
      </c>
      <c r="O85" s="25"/>
      <c r="P85" s="22">
        <f t="shared" si="54"/>
        <v>14544.8286</v>
      </c>
      <c r="Q85" s="24">
        <v>2000</v>
      </c>
      <c r="R85" s="22">
        <f t="shared" si="43"/>
        <v>27800.0014</v>
      </c>
      <c r="S85" s="22"/>
      <c r="T85" s="27"/>
    </row>
    <row r="86" ht="34.95" customHeight="1" spans="1:20" x14ac:dyDescent="0.25">
      <c r="A86" s="19">
        <v>81</v>
      </c>
      <c r="B86" s="20" t="s">
        <v>142</v>
      </c>
      <c r="C86" s="19" t="s">
        <v>59</v>
      </c>
      <c r="D86" s="19" t="s">
        <v>143</v>
      </c>
      <c r="E86" s="19">
        <v>30</v>
      </c>
      <c r="F86" s="21">
        <v>9044.12</v>
      </c>
      <c r="G86" s="22">
        <f t="shared" si="55"/>
        <v>9044.12</v>
      </c>
      <c r="H86" s="23"/>
      <c r="I86" s="43">
        <v>2788.86</v>
      </c>
      <c r="J86" s="25">
        <f t="shared" si="50"/>
        <v>11832.980000000001</v>
      </c>
      <c r="K86" s="26">
        <f t="shared" si="51"/>
        <v>11832.980000000001</v>
      </c>
      <c r="L86" s="22">
        <f t="shared" si="52"/>
        <v>2199.8940000000002</v>
      </c>
      <c r="M86" s="26">
        <f t="shared" si="57"/>
        <v>633.0884000000001</v>
      </c>
      <c r="N86" s="26">
        <f t="shared" si="56"/>
        <v>994.8532000000001</v>
      </c>
      <c r="O86" s="25"/>
      <c r="P86" s="22">
        <f t="shared" si="54"/>
        <v>2832.9824000000003</v>
      </c>
      <c r="Q86" s="25">
        <v>1000</v>
      </c>
      <c r="R86" s="22">
        <f t="shared" si="43"/>
        <v>9999.9976</v>
      </c>
      <c r="S86" s="22"/>
      <c r="T86" s="27"/>
    </row>
    <row r="87" ht="34.95" customHeight="1" spans="1:20" x14ac:dyDescent="0.25">
      <c r="A87" s="19">
        <v>82</v>
      </c>
      <c r="B87" s="20" t="s">
        <v>144</v>
      </c>
      <c r="C87" s="19" t="s">
        <v>91</v>
      </c>
      <c r="D87" s="19" t="s">
        <v>38</v>
      </c>
      <c r="E87" s="19">
        <v>30</v>
      </c>
      <c r="F87" s="21">
        <v>17155.18</v>
      </c>
      <c r="G87" s="22">
        <f t="shared" si="55"/>
        <v>17155.18</v>
      </c>
      <c r="H87" s="23"/>
      <c r="I87" s="24">
        <f>1846.15*0</f>
        <v>0</v>
      </c>
      <c r="J87" s="25">
        <f>G87+H87+I87</f>
        <v>17155.18</v>
      </c>
      <c r="K87" s="26">
        <f>G87+H87+I87</f>
        <v>17155.18</v>
      </c>
      <c r="L87" s="22">
        <f t="shared" si="52"/>
        <v>3954.313</v>
      </c>
      <c r="M87" s="26">
        <f t="shared" si="57"/>
        <v>1200.8626000000002</v>
      </c>
      <c r="N87" s="26">
        <f t="shared" si="56"/>
        <v>1887.0698</v>
      </c>
      <c r="O87" s="25"/>
      <c r="P87" s="22">
        <f t="shared" si="54"/>
        <v>5155.1756000000005</v>
      </c>
      <c r="Q87" s="24">
        <f>1000/30*E87</f>
        <v>1000.0000000000001</v>
      </c>
      <c r="R87" s="22">
        <f t="shared" si="43"/>
        <v>13000.0044</v>
      </c>
      <c r="S87" s="22"/>
      <c r="T87" s="27"/>
    </row>
    <row r="88" ht="34.95" customHeight="1" spans="1:20" x14ac:dyDescent="0.25">
      <c r="A88" s="19">
        <v>83</v>
      </c>
      <c r="B88" s="20" t="s">
        <v>145</v>
      </c>
      <c r="C88" s="19" t="s">
        <v>40</v>
      </c>
      <c r="D88" s="19" t="s">
        <v>51</v>
      </c>
      <c r="E88" s="19">
        <v>30</v>
      </c>
      <c r="F88" s="21">
        <v>7573.53</v>
      </c>
      <c r="G88" s="22">
        <f t="shared" si="55"/>
        <v>7573.53</v>
      </c>
      <c r="H88" s="23"/>
      <c r="I88" s="24">
        <f>3076.92</f>
        <v>3076.92</v>
      </c>
      <c r="J88" s="25">
        <f t="shared" si="50"/>
        <v>10650.45</v>
      </c>
      <c r="K88" s="26">
        <f>G88+H88+I88</f>
        <v>10650.45</v>
      </c>
      <c r="L88" s="22">
        <f>IF(K88&lt;=2000,(0),IF(K88&lt;=4000,(K88*0.15)-300,IF(K88&lt;=7000,(K88*0.2)-500,IF(K88&lt;=10000,(K88*0.25)-850,IF(K88&lt;=14000,(K88*0.3)-1350,IF(K88&gt;14000,(K88*0.35)-2050))))))</f>
        <v>1845.1350000000002</v>
      </c>
      <c r="M88" s="26">
        <f>F88*0.07</f>
        <v>530.1471</v>
      </c>
      <c r="N88" s="26">
        <f>F88*0.11</f>
        <v>833.0883</v>
      </c>
      <c r="O88" s="25"/>
      <c r="P88" s="22">
        <f>L88+M88+O88</f>
        <v>2375.2821000000004</v>
      </c>
      <c r="Q88" s="24">
        <v>1000</v>
      </c>
      <c r="R88" s="22">
        <f>J88-P88+Q88</f>
        <v>9275.1679</v>
      </c>
      <c r="S88" s="22"/>
      <c r="T88" s="27"/>
    </row>
    <row r="89" ht="34.95" customHeight="1" spans="1:20" x14ac:dyDescent="0.25">
      <c r="A89" s="19">
        <v>84</v>
      </c>
      <c r="B89" s="20" t="s">
        <v>146</v>
      </c>
      <c r="C89" s="19" t="s">
        <v>23</v>
      </c>
      <c r="D89" s="19" t="s">
        <v>65</v>
      </c>
      <c r="E89" s="19">
        <v>30</v>
      </c>
      <c r="F89" s="21">
        <v>3371.88</v>
      </c>
      <c r="G89" s="22">
        <f t="shared" si="55"/>
        <v>3371.88</v>
      </c>
      <c r="H89" s="23"/>
      <c r="I89" s="24">
        <f>1846.15*'[1]Shop Mgr KPI'!F7</f>
        <v>0</v>
      </c>
      <c r="J89" s="25">
        <f>G89+H89+I89</f>
        <v>3371.88</v>
      </c>
      <c r="K89" s="26">
        <f t="shared" ref="K89:K103" si="58">G89+H89+I89</f>
        <v>3371.88</v>
      </c>
      <c r="L89" s="22">
        <f t="shared" si="52"/>
        <v>205.78199999999998</v>
      </c>
      <c r="M89" s="26">
        <f t="shared" si="57"/>
        <v>236.03160000000003</v>
      </c>
      <c r="N89" s="26">
        <f t="shared" si="56"/>
        <v>370.90680000000003</v>
      </c>
      <c r="O89" s="25"/>
      <c r="P89" s="22">
        <f>L89+M89+O89</f>
        <v>441.8136</v>
      </c>
      <c r="Q89" s="24"/>
      <c r="R89" s="22">
        <f t="shared" si="43"/>
        <v>2930.0664</v>
      </c>
      <c r="S89" s="22"/>
      <c r="T89" s="27"/>
    </row>
    <row r="90" ht="34.95" customHeight="1" spans="1:20" x14ac:dyDescent="0.25">
      <c r="A90" s="19">
        <v>85</v>
      </c>
      <c r="B90" s="46" t="s">
        <v>147</v>
      </c>
      <c r="C90" s="19" t="s">
        <v>122</v>
      </c>
      <c r="D90" s="19" t="s">
        <v>60</v>
      </c>
      <c r="E90" s="19">
        <v>30</v>
      </c>
      <c r="F90" s="21">
        <v>35344.83</v>
      </c>
      <c r="G90" s="22">
        <f t="shared" si="55"/>
        <v>35344.83</v>
      </c>
      <c r="H90" s="23"/>
      <c r="I90" s="24">
        <f>1846.15*0</f>
        <v>0</v>
      </c>
      <c r="J90" s="25">
        <f>G90+H90+I90</f>
        <v>35344.83</v>
      </c>
      <c r="K90" s="26">
        <f>G90+H90+I90</f>
        <v>35344.83</v>
      </c>
      <c r="L90" s="22">
        <f>IF(K90&lt;=2000,(0),IF(K90&lt;=4000,(K90*0.15)-300,IF(K90&lt;=7000,(K90*0.2)-500,IF(K90&lt;=10000,(K90*0.25)-850,IF(K90&lt;=14000,(K90*0.3)-1350,IF(K90&gt;14000,(K90*0.35)-2050))))))</f>
        <v>10320.6905</v>
      </c>
      <c r="M90" s="26">
        <f t="shared" si="57"/>
        <v>2474.1381000000006</v>
      </c>
      <c r="N90" s="26">
        <f t="shared" si="56"/>
        <v>3887.9313</v>
      </c>
      <c r="O90" s="25"/>
      <c r="P90" s="22">
        <f>L90+M90+O90</f>
        <v>12794.8286</v>
      </c>
      <c r="Q90" s="24">
        <v>2000</v>
      </c>
      <c r="R90" s="22">
        <f t="shared" si="43"/>
        <v>24550.0014</v>
      </c>
      <c r="S90" s="22"/>
      <c r="T90" s="27"/>
    </row>
    <row r="91" ht="34.95" customHeight="1" spans="1:20" x14ac:dyDescent="0.25">
      <c r="A91" s="19">
        <v>86</v>
      </c>
      <c r="B91" s="47" t="s">
        <v>148</v>
      </c>
      <c r="C91" s="48" t="s">
        <v>23</v>
      </c>
      <c r="D91" s="48" t="s">
        <v>51</v>
      </c>
      <c r="E91" s="48">
        <v>30</v>
      </c>
      <c r="F91" s="49">
        <v>1600</v>
      </c>
      <c r="G91" s="22">
        <f>+F91/30*E91</f>
        <v>1600</v>
      </c>
      <c r="H91" s="50"/>
      <c r="I91" s="51"/>
      <c r="J91" s="52">
        <f>G91+H91+I91</f>
        <v>1600</v>
      </c>
      <c r="K91" s="53">
        <f>G91+H91+I91</f>
        <v>1600</v>
      </c>
      <c r="L91" s="54">
        <f>IF(K91&lt;=2000,(0),IF(K91&lt;=4000,(K91*0.15)-300,IF(K91&lt;=7000,(K91*0.2)-500,IF(K91&lt;=10000,(K91*0.25)-850,IF(K91&lt;=14000,(K91*0.3)-1350,IF(K91&gt;14000,(K91*0.35)-2050))))))</f>
        <v>0</v>
      </c>
      <c r="M91" s="53">
        <f t="shared" si="57"/>
        <v>112.00000000000001</v>
      </c>
      <c r="N91" s="53">
        <f t="shared" si="56"/>
        <v>176</v>
      </c>
      <c r="O91" s="52"/>
      <c r="P91" s="54">
        <f>L91+M91+O91</f>
        <v>112.00000000000001</v>
      </c>
      <c r="Q91" s="51"/>
      <c r="R91" s="54">
        <f t="shared" si="43"/>
        <v>1488</v>
      </c>
      <c r="S91" s="22"/>
      <c r="T91" s="27"/>
    </row>
    <row r="92" ht="34.95" customHeight="1" spans="1:20" x14ac:dyDescent="0.25">
      <c r="A92" s="19">
        <v>87</v>
      </c>
      <c r="B92" s="20" t="s">
        <v>149</v>
      </c>
      <c r="C92" s="19" t="s">
        <v>59</v>
      </c>
      <c r="D92" s="19" t="s">
        <v>35</v>
      </c>
      <c r="E92" s="19">
        <v>30</v>
      </c>
      <c r="F92" s="21">
        <v>9595.24</v>
      </c>
      <c r="G92" s="22">
        <f t="shared" si="55"/>
        <v>9595.24</v>
      </c>
      <c r="H92" s="23"/>
      <c r="I92" s="24">
        <v>2976.55</v>
      </c>
      <c r="J92" s="25">
        <f t="shared" ref="J92:J103" si="59">G92+H92+I92</f>
        <v>12571.79</v>
      </c>
      <c r="K92" s="26">
        <f t="shared" si="58"/>
        <v>12571.79</v>
      </c>
      <c r="L92" s="22">
        <f t="shared" ref="L92:L103" si="60">IF(K92&lt;=2000,(0),IF(K92&lt;=4000,(K92*0.15)-300,IF(K92&lt;=7000,(K92*0.2)-500,IF(K92&lt;=10000,(K92*0.25)-850,IF(K92&lt;=14000,(K92*0.3)-1350,IF(K92&gt;14000,(K92*0.35)-2050))))))</f>
        <v>2421.5370000000003</v>
      </c>
      <c r="M92" s="26">
        <f t="shared" si="57"/>
        <v>671.6668000000001</v>
      </c>
      <c r="N92" s="26">
        <f t="shared" si="56"/>
        <v>1055.4764</v>
      </c>
      <c r="O92" s="25"/>
      <c r="P92" s="22">
        <f t="shared" ref="P92:P103" si="61">L92+M92+O92</f>
        <v>3093.2038000000002</v>
      </c>
      <c r="Q92" s="24">
        <v>1000</v>
      </c>
      <c r="R92" s="22">
        <f t="shared" si="43"/>
        <v>10478.586200000002</v>
      </c>
      <c r="S92" s="22"/>
      <c r="T92" s="27"/>
    </row>
    <row r="93" ht="34.95" customHeight="1" spans="1:20" x14ac:dyDescent="0.25">
      <c r="A93" s="19">
        <v>88</v>
      </c>
      <c r="B93" s="20" t="s">
        <v>150</v>
      </c>
      <c r="C93" s="19" t="s">
        <v>23</v>
      </c>
      <c r="D93" s="19" t="s">
        <v>79</v>
      </c>
      <c r="E93" s="19">
        <v>30</v>
      </c>
      <c r="F93" s="21">
        <v>1612.9</v>
      </c>
      <c r="G93" s="22">
        <f>+F93/30*E93</f>
        <v>1612.9</v>
      </c>
      <c r="H93" s="23"/>
      <c r="I93" s="43"/>
      <c r="J93" s="25">
        <f>G93+H93+I93</f>
        <v>1612.9</v>
      </c>
      <c r="K93" s="26">
        <f>G93+H93+I93</f>
        <v>1612.9</v>
      </c>
      <c r="L93" s="22">
        <f>IF(K93&lt;=2000,(0),IF(K93&lt;=4000,(K93*0.15)-300,IF(K93&lt;=7000,(K93*0.2)-500,IF(K93&lt;=10000,(K93*0.25)-850,IF(K93&lt;=14000,(K93*0.3)-1350,IF(K93&gt;14000,(K93*0.35)-2050))))))</f>
        <v>0</v>
      </c>
      <c r="M93" s="26"/>
      <c r="N93" s="26"/>
      <c r="O93" s="25"/>
      <c r="P93" s="22">
        <f>L93+M93+O93</f>
        <v>0</v>
      </c>
      <c r="Q93" s="24"/>
      <c r="R93" s="22">
        <f t="shared" si="43"/>
        <v>1612.9</v>
      </c>
      <c r="S93" s="22"/>
      <c r="T93" s="27"/>
    </row>
    <row r="94" ht="34.95" customHeight="1" spans="1:20" x14ac:dyDescent="0.25">
      <c r="A94" s="19">
        <v>89</v>
      </c>
      <c r="B94" s="20" t="s">
        <v>151</v>
      </c>
      <c r="C94" s="19" t="s">
        <v>40</v>
      </c>
      <c r="D94" s="19" t="s">
        <v>60</v>
      </c>
      <c r="E94" s="19">
        <v>30</v>
      </c>
      <c r="F94" s="21">
        <v>9729.07</v>
      </c>
      <c r="G94" s="22">
        <f t="shared" si="55"/>
        <v>9729.07</v>
      </c>
      <c r="H94" s="23"/>
      <c r="I94" s="24">
        <f>2857.14</f>
        <v>2857.14</v>
      </c>
      <c r="J94" s="25">
        <f t="shared" si="59"/>
        <v>12586.21</v>
      </c>
      <c r="K94" s="26">
        <f t="shared" si="58"/>
        <v>12586.21</v>
      </c>
      <c r="L94" s="22">
        <f t="shared" si="60"/>
        <v>2425.8629999999994</v>
      </c>
      <c r="M94" s="26">
        <f t="shared" ref="M94:M108" si="62">F94*0.07</f>
        <v>681.0349</v>
      </c>
      <c r="N94" s="26">
        <f>F94*0.11</f>
        <v>1070.1977</v>
      </c>
      <c r="O94" s="25"/>
      <c r="P94" s="22">
        <f t="shared" si="61"/>
        <v>3106.8978999999995</v>
      </c>
      <c r="Q94" s="24">
        <f>1000/30*E94+370</f>
        <v>1370</v>
      </c>
      <c r="R94" s="22">
        <f t="shared" si="43"/>
        <v>10849.3121</v>
      </c>
      <c r="S94" s="22"/>
      <c r="T94" s="27"/>
    </row>
    <row r="95" ht="34.95" customHeight="1" spans="1:20" x14ac:dyDescent="0.25">
      <c r="A95" s="19">
        <v>90</v>
      </c>
      <c r="B95" s="20" t="s">
        <v>152</v>
      </c>
      <c r="C95" s="19" t="s">
        <v>153</v>
      </c>
      <c r="D95" s="19" t="s">
        <v>43</v>
      </c>
      <c r="E95" s="19">
        <v>30</v>
      </c>
      <c r="F95" s="21">
        <v>62931.03</v>
      </c>
      <c r="G95" s="22">
        <f t="shared" si="55"/>
        <v>62931.03</v>
      </c>
      <c r="H95" s="23"/>
      <c r="I95" s="55">
        <f>10769.23*0</f>
        <v>0</v>
      </c>
      <c r="J95" s="25">
        <f t="shared" si="59"/>
        <v>62931.03</v>
      </c>
      <c r="K95" s="26">
        <f t="shared" si="58"/>
        <v>62931.03</v>
      </c>
      <c r="L95" s="22">
        <f t="shared" si="60"/>
        <v>19975.8605</v>
      </c>
      <c r="M95" s="26">
        <f t="shared" si="62"/>
        <v>4405.172100000001</v>
      </c>
      <c r="N95" s="26">
        <f>F95*0.11</f>
        <v>6922.4133</v>
      </c>
      <c r="O95" s="25"/>
      <c r="P95" s="22">
        <f t="shared" si="61"/>
        <v>24381.0326</v>
      </c>
      <c r="Q95" s="24">
        <v>3000</v>
      </c>
      <c r="R95" s="22">
        <f t="shared" ref="R95:R110" si="63">J95-P95+Q95</f>
        <v>41549.9974</v>
      </c>
      <c r="S95" s="22"/>
      <c r="T95" s="27"/>
    </row>
    <row r="96" ht="34.95" customHeight="1" spans="1:20" x14ac:dyDescent="0.25">
      <c r="A96" s="19">
        <v>91</v>
      </c>
      <c r="B96" s="20" t="s">
        <v>154</v>
      </c>
      <c r="C96" s="19" t="s">
        <v>33</v>
      </c>
      <c r="D96" s="19" t="s">
        <v>65</v>
      </c>
      <c r="E96" s="19">
        <v>30</v>
      </c>
      <c r="F96" s="21">
        <v>4794.52</v>
      </c>
      <c r="G96" s="22">
        <f>+F96/30*E96</f>
        <v>4794.52</v>
      </c>
      <c r="H96" s="23"/>
      <c r="I96" s="29">
        <f>2519.64/30*E96</f>
        <v>2519.64</v>
      </c>
      <c r="J96" s="25">
        <f t="shared" si="59"/>
        <v>7314.16</v>
      </c>
      <c r="K96" s="26">
        <f t="shared" si="58"/>
        <v>7314.16</v>
      </c>
      <c r="L96" s="22">
        <f t="shared" si="60"/>
        <v>978.54</v>
      </c>
      <c r="M96" s="26">
        <f t="shared" si="62"/>
        <v>335.61640000000006</v>
      </c>
      <c r="N96" s="26">
        <f>F96*0.11</f>
        <v>527.3972</v>
      </c>
      <c r="O96" s="25"/>
      <c r="P96" s="22">
        <f>L96+M96+O96</f>
        <v>1314.1564</v>
      </c>
      <c r="Q96" s="24">
        <v>1000</v>
      </c>
      <c r="R96" s="22">
        <f>J96-P96+Q96</f>
        <v>7000.0036</v>
      </c>
      <c r="S96" s="22"/>
      <c r="T96" s="27"/>
    </row>
    <row r="97" ht="34.95" customHeight="1" spans="1:20" x14ac:dyDescent="0.25">
      <c r="A97" s="19">
        <v>92</v>
      </c>
      <c r="B97" s="20" t="s">
        <v>155</v>
      </c>
      <c r="C97" s="19" t="s">
        <v>40</v>
      </c>
      <c r="D97" s="19" t="s">
        <v>29</v>
      </c>
      <c r="E97" s="19">
        <v>30</v>
      </c>
      <c r="F97" s="21">
        <v>7573.53</v>
      </c>
      <c r="G97" s="22">
        <f t="shared" si="55"/>
        <v>7573.53</v>
      </c>
      <c r="H97" s="23"/>
      <c r="I97" s="24">
        <f>2683.83/30*E97</f>
        <v>2683.83</v>
      </c>
      <c r="J97" s="25">
        <f t="shared" si="59"/>
        <v>10257.36</v>
      </c>
      <c r="K97" s="26">
        <f t="shared" si="58"/>
        <v>10257.36</v>
      </c>
      <c r="L97" s="22">
        <f t="shared" si="60"/>
        <v>1727.208</v>
      </c>
      <c r="M97" s="26">
        <f t="shared" si="62"/>
        <v>530.1471</v>
      </c>
      <c r="N97" s="26">
        <f>F97*0.11</f>
        <v>833.0883</v>
      </c>
      <c r="O97" s="25"/>
      <c r="P97" s="22">
        <f t="shared" si="61"/>
        <v>2257.3551</v>
      </c>
      <c r="Q97" s="24">
        <f>1000+1480</f>
        <v>2480</v>
      </c>
      <c r="R97" s="22">
        <f t="shared" si="63"/>
        <v>10480.0049</v>
      </c>
      <c r="S97" s="22"/>
      <c r="T97" s="27"/>
    </row>
    <row r="98" ht="34.95" customHeight="1" spans="1:20" x14ac:dyDescent="0.25">
      <c r="A98" s="19">
        <v>93</v>
      </c>
      <c r="B98" s="20" t="s">
        <v>156</v>
      </c>
      <c r="C98" s="19" t="s">
        <v>28</v>
      </c>
      <c r="D98" s="19" t="s">
        <v>143</v>
      </c>
      <c r="E98" s="19">
        <v>30</v>
      </c>
      <c r="F98" s="21">
        <v>21724.14</v>
      </c>
      <c r="G98" s="22">
        <f t="shared" si="55"/>
        <v>21724.14</v>
      </c>
      <c r="H98" s="23">
        <v>8043</v>
      </c>
      <c r="I98" s="24">
        <f>1846.15*0</f>
        <v>0</v>
      </c>
      <c r="J98" s="25">
        <f t="shared" si="59"/>
        <v>29767.14</v>
      </c>
      <c r="K98" s="26">
        <f t="shared" si="58"/>
        <v>29767.14</v>
      </c>
      <c r="L98" s="22">
        <f t="shared" si="60"/>
        <v>8368.499</v>
      </c>
      <c r="M98" s="26">
        <f t="shared" si="62"/>
        <v>1520.6898</v>
      </c>
      <c r="N98" s="26">
        <f>F98*0.11</f>
        <v>2389.6554</v>
      </c>
      <c r="O98" s="25"/>
      <c r="P98" s="22">
        <f t="shared" si="61"/>
        <v>9889.1888</v>
      </c>
      <c r="Q98" s="24">
        <v>2000</v>
      </c>
      <c r="R98" s="22">
        <f t="shared" si="63"/>
        <v>21877.9512</v>
      </c>
      <c r="S98" s="22"/>
      <c r="T98" s="27"/>
    </row>
    <row r="99" ht="34.95" customHeight="1" spans="1:20" x14ac:dyDescent="0.25">
      <c r="A99" s="19">
        <v>94</v>
      </c>
      <c r="B99" s="20" t="s">
        <v>157</v>
      </c>
      <c r="C99" s="19" t="s">
        <v>28</v>
      </c>
      <c r="D99" s="19" t="s">
        <v>57</v>
      </c>
      <c r="E99" s="19">
        <v>30</v>
      </c>
      <c r="F99" s="21">
        <v>21724.14</v>
      </c>
      <c r="G99" s="22">
        <f t="shared" si="55"/>
        <v>21724.14</v>
      </c>
      <c r="H99" s="23">
        <v>4000</v>
      </c>
      <c r="I99" s="24">
        <f>1846.15*0</f>
        <v>0</v>
      </c>
      <c r="J99" s="25">
        <f t="shared" si="59"/>
        <v>25724.14</v>
      </c>
      <c r="K99" s="26">
        <f t="shared" si="58"/>
        <v>25724.14</v>
      </c>
      <c r="L99" s="22">
        <f t="shared" si="60"/>
        <v>6953.448999999999</v>
      </c>
      <c r="M99" s="26">
        <f t="shared" si="62"/>
        <v>1520.6898</v>
      </c>
      <c r="N99" s="26">
        <f t="shared" ref="N99:N105" si="64">F99*0.11</f>
        <v>2389.6554</v>
      </c>
      <c r="O99" s="25"/>
      <c r="P99" s="22">
        <f t="shared" si="61"/>
        <v>8474.138799999999</v>
      </c>
      <c r="Q99" s="24">
        <f>2000</f>
        <v>2000</v>
      </c>
      <c r="R99" s="22">
        <f t="shared" si="63"/>
        <v>19250.0012</v>
      </c>
      <c r="S99" s="22"/>
      <c r="T99" s="27"/>
    </row>
    <row r="100" ht="34.95" customHeight="1" spans="1:20" x14ac:dyDescent="0.25">
      <c r="A100" s="19">
        <v>95</v>
      </c>
      <c r="B100" s="32" t="s">
        <v>158</v>
      </c>
      <c r="C100" s="19" t="s">
        <v>33</v>
      </c>
      <c r="D100" s="19" t="s">
        <v>38</v>
      </c>
      <c r="E100" s="19">
        <v>30</v>
      </c>
      <c r="F100" s="21">
        <v>4794.52</v>
      </c>
      <c r="G100" s="22">
        <f>+F100/30*E100</f>
        <v>4794.52</v>
      </c>
      <c r="H100" s="23"/>
      <c r="I100" s="29">
        <f>2519.64/30*E100</f>
        <v>2519.64</v>
      </c>
      <c r="J100" s="25">
        <f t="shared" ref="J100" si="65">G100+H100+I100</f>
        <v>7314.16</v>
      </c>
      <c r="K100" s="26">
        <f t="shared" ref="K100" si="66">G100+H100+I100</f>
        <v>7314.16</v>
      </c>
      <c r="L100" s="22">
        <f t="shared" ref="L100" si="67">IF(K100&lt;=2000,(0),IF(K100&lt;=4000,(K100*0.15)-300,IF(K100&lt;=7000,(K100*0.2)-500,IF(K100&lt;=10000,(K100*0.25)-850,IF(K100&lt;=14000,(K100*0.3)-1350,IF(K100&gt;14000,(K100*0.35)-2050))))))</f>
        <v>978.54</v>
      </c>
      <c r="M100" s="26"/>
      <c r="N100" s="26"/>
      <c r="O100" s="25"/>
      <c r="P100" s="22">
        <f>L100+M100+O100</f>
        <v>978.54</v>
      </c>
      <c r="Q100" s="24">
        <v>1000</v>
      </c>
      <c r="R100" s="22">
        <f>J100-P100+Q100</f>
        <v>7335.62</v>
      </c>
      <c r="S100" s="22"/>
      <c r="T100" s="27"/>
    </row>
    <row r="101" ht="34.95" customHeight="1" spans="1:20" x14ac:dyDescent="0.25">
      <c r="A101" s="19">
        <v>96</v>
      </c>
      <c r="B101" s="20" t="s">
        <v>159</v>
      </c>
      <c r="C101" s="19" t="s">
        <v>67</v>
      </c>
      <c r="D101" s="19" t="s">
        <v>43</v>
      </c>
      <c r="E101" s="19">
        <v>30</v>
      </c>
      <c r="F101" s="21">
        <v>14655.17</v>
      </c>
      <c r="G101" s="22">
        <f t="shared" si="55"/>
        <v>14655.17</v>
      </c>
      <c r="H101" s="23">
        <f>7692.3/30*E101</f>
        <v>7692.300000000001</v>
      </c>
      <c r="I101" s="24">
        <f>3076.93/30*E101</f>
        <v>3076.93</v>
      </c>
      <c r="J101" s="25">
        <f>G101+H101+I101</f>
        <v>25424.4</v>
      </c>
      <c r="K101" s="26">
        <f>G101+H101+I101</f>
        <v>25424.4</v>
      </c>
      <c r="L101" s="22">
        <f>IF(K101&lt;=2000,(0),IF(K101&lt;=4000,(K101*0.15)-300,IF(K101&lt;=7000,(K101*0.2)-500,IF(K101&lt;=10000,(K101*0.25)-850,IF(K101&lt;=14000,(K101*0.3)-1350,IF(K101&gt;14000,(K101*0.35)-2050))))))</f>
        <v>6848.539999999999</v>
      </c>
      <c r="M101" s="26">
        <f t="shared" si="62"/>
        <v>1025.8619</v>
      </c>
      <c r="N101" s="26">
        <f>F101*0.11</f>
        <v>1612.0687</v>
      </c>
      <c r="O101" s="25"/>
      <c r="P101" s="22">
        <f t="shared" si="61"/>
        <v>7874.401899999999</v>
      </c>
      <c r="Q101" s="24">
        <f>1000+1000</f>
        <v>2000</v>
      </c>
      <c r="R101" s="22">
        <f t="shared" si="63"/>
        <v>19549.998100000004</v>
      </c>
      <c r="S101" s="22"/>
      <c r="T101" s="27"/>
    </row>
    <row r="102" ht="34.95" customHeight="1" spans="1:20" x14ac:dyDescent="0.25">
      <c r="A102" s="19">
        <v>97</v>
      </c>
      <c r="B102" s="20" t="s">
        <v>160</v>
      </c>
      <c r="C102" s="19" t="s">
        <v>40</v>
      </c>
      <c r="D102" s="19" t="s">
        <v>26</v>
      </c>
      <c r="E102" s="19">
        <v>30</v>
      </c>
      <c r="F102" s="21">
        <v>7573.53</v>
      </c>
      <c r="G102" s="22">
        <f t="shared" si="55"/>
        <v>7573.53</v>
      </c>
      <c r="H102" s="23"/>
      <c r="I102" s="24">
        <f>2683.83</f>
        <v>2683.83</v>
      </c>
      <c r="J102" s="25">
        <f t="shared" si="59"/>
        <v>10257.36</v>
      </c>
      <c r="K102" s="26">
        <f t="shared" si="58"/>
        <v>10257.36</v>
      </c>
      <c r="L102" s="22">
        <f t="shared" si="60"/>
        <v>1727.208</v>
      </c>
      <c r="M102" s="26">
        <f t="shared" si="62"/>
        <v>530.1471</v>
      </c>
      <c r="N102" s="26">
        <f t="shared" si="64"/>
        <v>833.0883</v>
      </c>
      <c r="O102" s="25"/>
      <c r="P102" s="22">
        <f t="shared" si="61"/>
        <v>2257.3551</v>
      </c>
      <c r="Q102" s="24">
        <f>1000/30*E102</f>
        <v>1000.0000000000001</v>
      </c>
      <c r="R102" s="22">
        <f t="shared" si="63"/>
        <v>9000.0049</v>
      </c>
      <c r="S102" s="35"/>
      <c r="T102" s="27"/>
    </row>
    <row r="103" ht="34.95" customHeight="1" spans="1:20" x14ac:dyDescent="0.25">
      <c r="A103" s="19">
        <v>98</v>
      </c>
      <c r="B103" s="20" t="s">
        <v>161</v>
      </c>
      <c r="C103" s="19" t="s">
        <v>59</v>
      </c>
      <c r="D103" s="19" t="s">
        <v>57</v>
      </c>
      <c r="E103" s="19">
        <v>30</v>
      </c>
      <c r="F103" s="21">
        <v>9595.24</v>
      </c>
      <c r="G103" s="22">
        <f t="shared" si="55"/>
        <v>9595.24</v>
      </c>
      <c r="H103" s="23"/>
      <c r="I103" s="24">
        <v>2976.55</v>
      </c>
      <c r="J103" s="25">
        <f t="shared" si="59"/>
        <v>12571.79</v>
      </c>
      <c r="K103" s="26">
        <f t="shared" si="58"/>
        <v>12571.79</v>
      </c>
      <c r="L103" s="22">
        <f t="shared" si="60"/>
        <v>2421.5370000000003</v>
      </c>
      <c r="M103" s="26">
        <f t="shared" si="62"/>
        <v>671.6668000000001</v>
      </c>
      <c r="N103" s="26">
        <f t="shared" si="64"/>
        <v>1055.4764</v>
      </c>
      <c r="O103" s="25"/>
      <c r="P103" s="22">
        <f t="shared" si="61"/>
        <v>3093.2038000000002</v>
      </c>
      <c r="Q103" s="24">
        <v>1000</v>
      </c>
      <c r="R103" s="22">
        <f>J103-P103+Q103</f>
        <v>10478.586200000002</v>
      </c>
      <c r="S103" s="22"/>
      <c r="T103" s="27"/>
    </row>
    <row r="104" ht="34.95" customHeight="1" spans="1:20" x14ac:dyDescent="0.25">
      <c r="A104" s="19">
        <v>99</v>
      </c>
      <c r="B104" s="20" t="s">
        <v>162</v>
      </c>
      <c r="C104" s="19" t="s">
        <v>122</v>
      </c>
      <c r="D104" s="19" t="s">
        <v>43</v>
      </c>
      <c r="E104" s="19">
        <v>30</v>
      </c>
      <c r="F104" s="21">
        <v>35344.83</v>
      </c>
      <c r="G104" s="22">
        <f t="shared" si="55"/>
        <v>35344.83</v>
      </c>
      <c r="H104" s="23"/>
      <c r="I104" s="24">
        <f>6153.85</f>
        <v>6153.85</v>
      </c>
      <c r="J104" s="25">
        <f>G104+H104+I104</f>
        <v>41498.68</v>
      </c>
      <c r="K104" s="26">
        <f t="shared" ref="K104:K111" si="68">G104+H104+I104</f>
        <v>41498.68</v>
      </c>
      <c r="L104" s="22">
        <f t="shared" ref="L104:L111" si="69">IF(K104&lt;=2000,(0),IF(K104&lt;=4000,(K104*0.15)-300,IF(K104&lt;=7000,(K104*0.2)-500,IF(K104&lt;=10000,(K104*0.25)-850,IF(K104&lt;=14000,(K104*0.3)-1350,IF(K104&gt;14000,(K104*0.35)-2050))))))</f>
        <v>12474.537999999999</v>
      </c>
      <c r="M104" s="26">
        <f t="shared" si="62"/>
        <v>2474.1381000000006</v>
      </c>
      <c r="N104" s="26">
        <f>F104*0.11</f>
        <v>3887.9313</v>
      </c>
      <c r="O104" s="25"/>
      <c r="P104" s="22">
        <f t="shared" ref="P104:P111" si="70">L104+M104+O104</f>
        <v>14948.676099999999</v>
      </c>
      <c r="Q104" s="24">
        <v>2000</v>
      </c>
      <c r="R104" s="22">
        <f t="shared" si="63"/>
        <v>28550.003900000003</v>
      </c>
      <c r="S104" s="22"/>
      <c r="T104" s="27"/>
    </row>
    <row r="105" ht="34.95" customHeight="1" spans="1:20" x14ac:dyDescent="0.25">
      <c r="A105" s="19">
        <v>100</v>
      </c>
      <c r="B105" s="20" t="s">
        <v>163</v>
      </c>
      <c r="C105" s="19" t="s">
        <v>40</v>
      </c>
      <c r="D105" s="19" t="s">
        <v>57</v>
      </c>
      <c r="E105" s="19">
        <v>30</v>
      </c>
      <c r="F105" s="21">
        <v>7573.53</v>
      </c>
      <c r="G105" s="22">
        <f>+F105/30*E105</f>
        <v>7573.53</v>
      </c>
      <c r="H105" s="23"/>
      <c r="I105" s="24">
        <f>2683.83/30*E105</f>
        <v>2683.83</v>
      </c>
      <c r="J105" s="25">
        <f>G105+H105+I105</f>
        <v>10257.36</v>
      </c>
      <c r="K105" s="26">
        <f t="shared" si="68"/>
        <v>10257.36</v>
      </c>
      <c r="L105" s="22">
        <f t="shared" si="69"/>
        <v>1727.208</v>
      </c>
      <c r="M105" s="26">
        <f t="shared" si="62"/>
        <v>530.1471</v>
      </c>
      <c r="N105" s="26">
        <f t="shared" si="64"/>
        <v>833.0883</v>
      </c>
      <c r="O105" s="25"/>
      <c r="P105" s="22">
        <f t="shared" si="70"/>
        <v>2257.3551</v>
      </c>
      <c r="Q105" s="24">
        <v>1000</v>
      </c>
      <c r="R105" s="22">
        <f t="shared" si="63"/>
        <v>9000.0049</v>
      </c>
      <c r="S105" s="22"/>
      <c r="T105" s="27"/>
    </row>
    <row r="106" ht="34.95" customHeight="1" spans="1:20" x14ac:dyDescent="0.25">
      <c r="A106" s="19">
        <v>101</v>
      </c>
      <c r="B106" s="20" t="s">
        <v>164</v>
      </c>
      <c r="C106" s="19" t="s">
        <v>59</v>
      </c>
      <c r="D106" s="19" t="s">
        <v>62</v>
      </c>
      <c r="E106" s="19">
        <v>30</v>
      </c>
      <c r="F106" s="21">
        <v>9595.24</v>
      </c>
      <c r="G106" s="22">
        <f t="shared" ref="G106:G110" si="71">+F106/30*E106</f>
        <v>9595.24</v>
      </c>
      <c r="H106" s="23"/>
      <c r="I106" s="24">
        <v>2976.55</v>
      </c>
      <c r="J106" s="25">
        <f t="shared" ref="J106:J111" si="72">G106+H106+I106</f>
        <v>12571.79</v>
      </c>
      <c r="K106" s="26">
        <f t="shared" si="68"/>
        <v>12571.79</v>
      </c>
      <c r="L106" s="22">
        <f t="shared" si="69"/>
        <v>2421.5370000000003</v>
      </c>
      <c r="M106" s="26">
        <f t="shared" si="62"/>
        <v>671.6668000000001</v>
      </c>
      <c r="N106" s="26">
        <f>F106*0.11</f>
        <v>1055.4764</v>
      </c>
      <c r="O106" s="25"/>
      <c r="P106" s="22">
        <f t="shared" si="70"/>
        <v>3093.2038000000002</v>
      </c>
      <c r="Q106" s="24">
        <v>1000</v>
      </c>
      <c r="R106" s="22">
        <f t="shared" si="63"/>
        <v>10478.586200000002</v>
      </c>
      <c r="S106" s="22"/>
      <c r="T106" s="27"/>
    </row>
    <row r="107" ht="34.95" customHeight="1" spans="1:20" x14ac:dyDescent="0.25">
      <c r="A107" s="19">
        <v>102</v>
      </c>
      <c r="B107" s="20" t="s">
        <v>165</v>
      </c>
      <c r="C107" s="19" t="s">
        <v>40</v>
      </c>
      <c r="D107" s="19" t="s">
        <v>31</v>
      </c>
      <c r="E107" s="19">
        <v>30</v>
      </c>
      <c r="F107" s="21">
        <v>7573.53</v>
      </c>
      <c r="G107" s="22">
        <f>+F107/30*E107</f>
        <v>7573.53</v>
      </c>
      <c r="H107" s="23"/>
      <c r="I107" s="24">
        <v>2683.83</v>
      </c>
      <c r="J107" s="25">
        <f>G107+H107+I107</f>
        <v>10257.36</v>
      </c>
      <c r="K107" s="26">
        <f t="shared" si="68"/>
        <v>10257.36</v>
      </c>
      <c r="L107" s="22">
        <f t="shared" si="69"/>
        <v>1727.208</v>
      </c>
      <c r="M107" s="26">
        <f t="shared" si="62"/>
        <v>530.1471</v>
      </c>
      <c r="N107" s="26">
        <f>F107*0.11</f>
        <v>833.0883</v>
      </c>
      <c r="O107" s="25"/>
      <c r="P107" s="22">
        <f t="shared" si="70"/>
        <v>2257.3551</v>
      </c>
      <c r="Q107" s="24">
        <v>1000</v>
      </c>
      <c r="R107" s="22">
        <f t="shared" si="63"/>
        <v>9000.0049</v>
      </c>
      <c r="S107" s="22"/>
      <c r="T107" s="27"/>
    </row>
    <row r="108" ht="34.95" customHeight="1" spans="1:20" x14ac:dyDescent="0.25">
      <c r="A108" s="19">
        <v>103</v>
      </c>
      <c r="B108" s="20" t="s">
        <v>166</v>
      </c>
      <c r="C108" s="19" t="s">
        <v>23</v>
      </c>
      <c r="D108" s="19" t="s">
        <v>57</v>
      </c>
      <c r="E108" s="19">
        <v>30</v>
      </c>
      <c r="F108" s="21">
        <v>1612.9</v>
      </c>
      <c r="G108" s="22">
        <f t="shared" si="71"/>
        <v>1612.9</v>
      </c>
      <c r="H108" s="23"/>
      <c r="I108" s="24"/>
      <c r="J108" s="25">
        <f t="shared" si="72"/>
        <v>1612.9</v>
      </c>
      <c r="K108" s="26">
        <f t="shared" si="68"/>
        <v>1612.9</v>
      </c>
      <c r="L108" s="22">
        <f t="shared" si="69"/>
        <v>0</v>
      </c>
      <c r="M108" s="26">
        <f t="shared" si="62"/>
        <v>112.90300000000002</v>
      </c>
      <c r="N108" s="26">
        <f>F108*0.11</f>
        <v>177.419</v>
      </c>
      <c r="O108" s="25"/>
      <c r="P108" s="22">
        <f t="shared" si="70"/>
        <v>112.90300000000002</v>
      </c>
      <c r="Q108" s="24"/>
      <c r="R108" s="22">
        <f t="shared" si="63"/>
        <v>1499.997</v>
      </c>
      <c r="S108" s="22"/>
      <c r="T108" s="27"/>
    </row>
    <row r="109" ht="34.95" customHeight="1" spans="1:20" x14ac:dyDescent="0.25">
      <c r="A109" s="19">
        <v>104</v>
      </c>
      <c r="B109" s="20" t="s">
        <v>167</v>
      </c>
      <c r="C109" s="19" t="s">
        <v>33</v>
      </c>
      <c r="D109" s="19" t="s">
        <v>79</v>
      </c>
      <c r="E109" s="19">
        <v>30</v>
      </c>
      <c r="F109" s="21">
        <v>4795.52</v>
      </c>
      <c r="G109" s="22">
        <f>+F109/30*E109</f>
        <v>4795.52</v>
      </c>
      <c r="H109" s="23"/>
      <c r="I109" s="29"/>
      <c r="J109" s="25">
        <f>G109+H109+I109</f>
        <v>4795.52</v>
      </c>
      <c r="K109" s="26">
        <f t="shared" si="68"/>
        <v>4795.52</v>
      </c>
      <c r="L109" s="22">
        <f t="shared" si="69"/>
        <v>459.10400000000016</v>
      </c>
      <c r="M109" s="26"/>
      <c r="N109" s="26"/>
      <c r="O109" s="25"/>
      <c r="P109" s="22">
        <f t="shared" si="70"/>
        <v>459.10400000000016</v>
      </c>
      <c r="Q109" s="29">
        <v>1000</v>
      </c>
      <c r="R109" s="22">
        <f t="shared" si="63"/>
        <v>5336.416</v>
      </c>
      <c r="S109" s="35"/>
      <c r="T109" s="27"/>
    </row>
    <row r="110" ht="34.95" customHeight="1" spans="1:20" x14ac:dyDescent="0.25">
      <c r="A110" s="19">
        <v>105</v>
      </c>
      <c r="B110" s="20" t="s">
        <v>168</v>
      </c>
      <c r="C110" s="19" t="s">
        <v>23</v>
      </c>
      <c r="D110" s="19" t="s">
        <v>60</v>
      </c>
      <c r="E110" s="19">
        <v>30</v>
      </c>
      <c r="F110" s="21">
        <v>1740.39</v>
      </c>
      <c r="G110" s="22">
        <f t="shared" si="71"/>
        <v>1740.39</v>
      </c>
      <c r="H110" s="23"/>
      <c r="I110" s="24"/>
      <c r="J110" s="25">
        <f t="shared" si="72"/>
        <v>1740.39</v>
      </c>
      <c r="K110" s="26">
        <f t="shared" si="68"/>
        <v>1740.39</v>
      </c>
      <c r="L110" s="22">
        <f t="shared" si="69"/>
        <v>0</v>
      </c>
      <c r="M110" s="26">
        <f>F110*0.07</f>
        <v>121.82730000000002</v>
      </c>
      <c r="N110" s="26">
        <f>F110*0.11</f>
        <v>191.4429</v>
      </c>
      <c r="O110" s="25"/>
      <c r="P110" s="22">
        <f t="shared" si="70"/>
        <v>121.82730000000002</v>
      </c>
      <c r="Q110" s="24">
        <v>500</v>
      </c>
      <c r="R110" s="22">
        <f t="shared" si="63"/>
        <v>2118.5627000000004</v>
      </c>
      <c r="S110" s="22"/>
      <c r="T110" s="27"/>
    </row>
    <row r="111" ht="34.95" customHeight="1" spans="1:20" x14ac:dyDescent="0.25">
      <c r="A111" s="19">
        <v>106</v>
      </c>
      <c r="B111" s="20" t="s">
        <v>169</v>
      </c>
      <c r="C111" s="19" t="s">
        <v>67</v>
      </c>
      <c r="D111" s="19" t="s">
        <v>43</v>
      </c>
      <c r="E111" s="19">
        <v>30</v>
      </c>
      <c r="F111" s="21">
        <v>14655.17</v>
      </c>
      <c r="G111" s="22">
        <f>+F111/30*E111</f>
        <v>14655.17</v>
      </c>
      <c r="H111" s="23">
        <f>7692.3/30*E111+[2]Overtime!I86</f>
        <v>7692.300000000001</v>
      </c>
      <c r="I111" s="24">
        <f>3076.93/30*E111</f>
        <v>3076.93</v>
      </c>
      <c r="J111" s="25">
        <f t="shared" si="72"/>
        <v>25424.4</v>
      </c>
      <c r="K111" s="26">
        <f t="shared" si="68"/>
        <v>25424.4</v>
      </c>
      <c r="L111" s="22">
        <f t="shared" si="69"/>
        <v>6848.539999999999</v>
      </c>
      <c r="M111" s="26">
        <f>F111*0.07</f>
        <v>1025.8619</v>
      </c>
      <c r="N111" s="26">
        <f>F111*0.11</f>
        <v>1612.0687</v>
      </c>
      <c r="O111" s="25"/>
      <c r="P111" s="22">
        <f t="shared" si="70"/>
        <v>7874.401899999999</v>
      </c>
      <c r="Q111" s="24">
        <f>1000/30*E111+1000</f>
        <v>2000</v>
      </c>
      <c r="R111" s="22">
        <f>J111-P111+Q111</f>
        <v>19549.998100000004</v>
      </c>
      <c r="S111" s="35"/>
      <c r="T111" s="27"/>
    </row>
    <row r="112" ht="39.6" customHeight="1" spans="1:20" x14ac:dyDescent="0.25">
      <c r="A112" s="56" t="s">
        <v>170</v>
      </c>
      <c r="B112" s="56"/>
      <c r="C112" s="56"/>
      <c r="D112" s="56"/>
      <c r="E112" s="57"/>
      <c r="F112" s="58">
        <f>SUM(F6:F111)</f>
        <v>1738510.9200000002</v>
      </c>
      <c r="G112" s="58">
        <f t="shared" ref="G112:Q112" si="73">SUM(G6:G111)</f>
        <v>1695967.6496666663</v>
      </c>
      <c r="H112" s="58">
        <f t="shared" si="73"/>
        <v>70226.7173076923</v>
      </c>
      <c r="I112" s="58">
        <f t="shared" si="73"/>
        <v>163321.65999999995</v>
      </c>
      <c r="J112" s="58">
        <f t="shared" si="73"/>
        <v>1929516.0269743586</v>
      </c>
      <c r="K112" s="58">
        <f t="shared" si="73"/>
        <v>1929516.0269743586</v>
      </c>
      <c r="L112" s="58">
        <f t="shared" si="73"/>
        <v>499679.66839358985</v>
      </c>
      <c r="M112" s="58">
        <f t="shared" si="73"/>
        <v>111808.56400000001</v>
      </c>
      <c r="N112" s="58">
        <f t="shared" si="73"/>
        <v>163200.89610000004</v>
      </c>
      <c r="O112" s="58">
        <f t="shared" si="73"/>
        <v>7500</v>
      </c>
      <c r="P112" s="58">
        <f t="shared" si="73"/>
        <v>617997.6896935903</v>
      </c>
      <c r="Q112" s="58">
        <f t="shared" si="73"/>
        <v>115563.33333333334</v>
      </c>
      <c r="R112" s="58">
        <f>SUM(R6:R111)</f>
        <v>1427081.6706141024</v>
      </c>
      <c r="S112" s="59"/>
      <c r="T112" s="37"/>
    </row>
    <row r="113" ht="39.6" customHeight="1" spans="1:20" x14ac:dyDescent="0.25">
      <c r="A113" s="60" t="s">
        <v>170</v>
      </c>
      <c r="B113" s="60"/>
      <c r="C113" s="60"/>
      <c r="D113" s="60"/>
      <c r="E113" s="61"/>
      <c r="F113" s="58">
        <f>F112+DSA!F38+'EBU Department'!F46+Aleletu!F8+Chacha!F9+Legetafo!F14+Hmariam!F8+Mendida!F7+Sendafa!F15+Sheno!F12+Sirti!F7</f>
        <v>2662789.62</v>
      </c>
      <c r="G113" s="58">
        <f>G112+DSA!G38+'EBU Department'!G46+Aleletu!G8+Chacha!G9+Legetafo!G14+Hmariam!G8+Mendida!G7+Sendafa!G15+Sheno!G12+Sirti!G7</f>
        <v>2572811.4286666666</v>
      </c>
      <c r="H113" s="58">
        <f>H112+DSA!H38+'EBU Department'!H46+Aleletu!H8+Chacha!H9+Legetafo!H14+Hmariam!H8+Mendida!H7+Sendafa!H15+Sheno!H12+Sirti!H7</f>
        <v>528827.5673076924</v>
      </c>
      <c r="I113" s="58">
        <f>I112+DSA!I38+'EBU Department'!I46+Aleletu!I8+Chacha!I9+Legetafo!I14+Hmariam!I8+Mendida!I7+Sendafa!I15+Sheno!I12+Sirti!I7</f>
        <v>337111.5299999999</v>
      </c>
      <c r="J113" s="58">
        <f>J112+DSA!J38+'EBU Department'!J46+Aleletu!J8+Chacha!J9+Legetafo!J14+Hmariam!J8+Mendida!J7+Sendafa!J15+Sheno!J12+Sirti!J7</f>
        <v>3438750.5259743584</v>
      </c>
      <c r="K113" s="58">
        <f>K112+DSA!K38+'EBU Department'!K46+Aleletu!K8+Chacha!K9+Legetafo!K14+Hmariam!K8+Mendida!K7+Sendafa!K15+Sheno!K12+Sirti!K7</f>
        <v>3438750.5259743584</v>
      </c>
      <c r="L113" s="58">
        <f>L112+DSA!L38+'EBU Department'!L46+Aleletu!L8+Chacha!L9+Legetafo!L14+Hmariam!L8+Mendida!L7+Sendafa!L15+Sheno!L12+Sirti!L7</f>
        <v>842134.7466935897</v>
      </c>
      <c r="M113" s="58">
        <f>M112+DSA!M38+'EBU Department'!M46+Aleletu!M8+Chacha!M9+Legetafo!M14+Hmariam!M8+Mendida!M7+Sendafa!M15+Sheno!M12+Sirti!M7</f>
        <v>154268.84900000002</v>
      </c>
      <c r="N113" s="58">
        <f>N112+DSA!N38+'EBU Department'!N46+Aleletu!N8+Chacha!N9+Legetafo!N14+Hmariam!N8+Mendida!N7+Sendafa!N15+Sheno!N12+Sirti!N7</f>
        <v>229246.11930000002</v>
      </c>
      <c r="O113" s="58">
        <f>O112+DSA!O38+'EBU Department'!O46+Aleletu!O8+Chacha!O9+Legetafo!O14+Hmariam!O8+Mendida!O7+Sendafa!O15+Sheno!O12+Sirti!O7</f>
        <v>17500</v>
      </c>
      <c r="P113" s="58">
        <f>P112+DSA!P38+'EBU Department'!P46+Aleletu!P8+Chacha!P9+Legetafo!P14+Hmariam!P8+Mendida!P7+Sendafa!P15+Sheno!P12+Sirti!P7</f>
        <v>1012913.0529935902</v>
      </c>
      <c r="Q113" s="58">
        <f>Q112+DSA!Q38+'EBU Department'!Q46+Aleletu!Q8+Chacha!Q9+Legetafo!Q14+Hmariam!Q8+Mendida!Q7+Sendafa!Q15+Sheno!Q12+Sirti!Q7</f>
        <v>257086.66666666666</v>
      </c>
      <c r="R113" s="58">
        <f>R112+DSA!R38+'EBU Department'!R46+Aleletu!R8+Chacha!R9+Legetafo!R14+Hmariam!R8+Mendida!R7+Sendafa!R15+Sheno!R12+Sirti!R7</f>
        <v>2682924.139647436</v>
      </c>
      <c r="S113" s="62"/>
      <c r="T113" s="37"/>
    </row>
    <row r="114" ht="28.95" customHeight="1" spans="1:20" x14ac:dyDescent="0.25">
      <c r="A114" s="63"/>
      <c r="B114" s="63"/>
      <c r="C114" s="63"/>
      <c r="D114" s="63"/>
      <c r="E114" s="63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5"/>
      <c r="T114" s="5"/>
    </row>
    <row r="115" spans="1:20" x14ac:dyDescent="0.25">
      <c r="A115" s="1"/>
      <c r="B115" s="2"/>
      <c r="C115" s="2"/>
      <c r="D115" s="3"/>
      <c r="E115" s="3"/>
      <c r="F115" s="2"/>
      <c r="G115" s="2"/>
      <c r="H115" s="4"/>
      <c r="I115" s="2"/>
      <c r="J115" s="66"/>
      <c r="K115" s="2"/>
      <c r="L115" s="2"/>
      <c r="M115" s="66"/>
      <c r="N115" s="2"/>
      <c r="O115" s="2"/>
      <c r="P115" s="2"/>
      <c r="Q115" s="66"/>
      <c r="R115" s="2"/>
      <c r="S115" s="2"/>
      <c r="T115" s="5"/>
    </row>
    <row r="116" ht="25.2" customHeight="1" spans="1:20" x14ac:dyDescent="0.25">
      <c r="A116" s="67" t="s">
        <v>171</v>
      </c>
      <c r="B116" s="67"/>
      <c r="C116" s="67"/>
      <c r="D116" s="67"/>
      <c r="E116" s="68"/>
      <c r="F116" s="69"/>
      <c r="G116" s="67" t="s">
        <v>172</v>
      </c>
      <c r="H116" s="67"/>
      <c r="I116" s="67"/>
      <c r="J116" s="70"/>
      <c r="K116" s="70"/>
      <c r="L116" s="70"/>
      <c r="M116" s="67" t="s">
        <v>173</v>
      </c>
      <c r="N116" s="67"/>
      <c r="O116" s="67"/>
      <c r="P116" s="67"/>
      <c r="Q116" s="67"/>
      <c r="R116" s="71"/>
      <c r="S116" s="69"/>
      <c r="T116" s="5"/>
    </row>
    <row r="117" ht="25.8" customHeight="1" spans="1:20" x14ac:dyDescent="0.25">
      <c r="A117" s="72" t="s">
        <v>174</v>
      </c>
      <c r="B117" s="69"/>
      <c r="C117" s="69"/>
      <c r="D117" s="73"/>
      <c r="E117" s="73"/>
      <c r="F117" s="69"/>
      <c r="G117" s="74" t="s">
        <v>175</v>
      </c>
      <c r="H117" s="75"/>
      <c r="I117" s="69"/>
      <c r="J117" s="76"/>
      <c r="K117" s="70"/>
      <c r="L117" s="70"/>
      <c r="M117" s="74" t="s">
        <v>175</v>
      </c>
      <c r="N117" s="74"/>
      <c r="O117" s="74"/>
      <c r="P117" s="69"/>
      <c r="Q117" s="69"/>
      <c r="R117" s="70"/>
      <c r="S117" s="69"/>
      <c r="T117" s="5"/>
    </row>
    <row r="118" ht="25.8" customHeight="1" spans="1:20" x14ac:dyDescent="0.25">
      <c r="A118" s="72" t="s">
        <v>176</v>
      </c>
      <c r="B118" s="69"/>
      <c r="C118" s="69"/>
      <c r="D118" s="73"/>
      <c r="E118" s="73"/>
      <c r="F118" s="69"/>
      <c r="G118" s="74" t="s">
        <v>177</v>
      </c>
      <c r="H118" s="75"/>
      <c r="I118" s="69"/>
      <c r="J118" s="76"/>
      <c r="K118" s="70"/>
      <c r="L118" s="70"/>
      <c r="M118" s="74" t="s">
        <v>177</v>
      </c>
      <c r="N118" s="74"/>
      <c r="O118" s="74"/>
      <c r="P118" s="69"/>
      <c r="Q118" s="69"/>
      <c r="R118" s="70"/>
      <c r="S118" s="69"/>
      <c r="T118" s="5"/>
    </row>
    <row r="119" ht="25.2" customHeight="1" spans="1:20" x14ac:dyDescent="0.25">
      <c r="A119" s="72" t="s">
        <v>178</v>
      </c>
      <c r="B119" s="69"/>
      <c r="C119" s="69"/>
      <c r="D119" s="73"/>
      <c r="E119" s="73"/>
      <c r="F119" s="69"/>
      <c r="G119" s="74" t="s">
        <v>179</v>
      </c>
      <c r="H119" s="75"/>
      <c r="I119" s="70"/>
      <c r="J119" s="70"/>
      <c r="K119" s="69"/>
      <c r="L119" s="69"/>
      <c r="M119" s="74" t="s">
        <v>179</v>
      </c>
      <c r="N119" s="74"/>
      <c r="O119" s="74"/>
      <c r="P119" s="69"/>
      <c r="Q119" s="70"/>
      <c r="R119" s="69"/>
      <c r="S119" s="69"/>
      <c r="T119" s="5"/>
    </row>
    <row r="120" spans="1:20" x14ac:dyDescent="0.25">
      <c r="A120" s="1"/>
      <c r="B120" s="2"/>
      <c r="C120" s="2"/>
      <c r="D120" s="3"/>
      <c r="E120" s="3"/>
      <c r="F120" s="77"/>
      <c r="G120" s="2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5"/>
    </row>
    <row r="121" ht="18" customHeight="1" spans="1:20" x14ac:dyDescent="0.25">
      <c r="A121" s="1"/>
      <c r="B121" s="2"/>
      <c r="C121" s="2"/>
      <c r="D121" s="3"/>
      <c r="E121" s="3"/>
      <c r="F121" s="2"/>
      <c r="G121" s="2"/>
      <c r="H121" s="78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5"/>
    </row>
    <row r="122" spans="1:20" x14ac:dyDescent="0.25">
      <c r="A122" s="1"/>
      <c r="B122" s="2"/>
      <c r="C122" s="2"/>
      <c r="D122" s="3"/>
      <c r="E122" s="3"/>
      <c r="F122" s="2"/>
      <c r="G122" s="2"/>
      <c r="H122" s="79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5"/>
    </row>
    <row r="123" spans="1:20" x14ac:dyDescent="0.25">
      <c r="A123" s="1"/>
      <c r="B123" s="2"/>
      <c r="C123" s="2"/>
      <c r="D123" s="3"/>
      <c r="E123" s="3"/>
      <c r="F123" s="2"/>
      <c r="G123" s="2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5"/>
    </row>
    <row r="124" spans="1:20" x14ac:dyDescent="0.25">
      <c r="A124" s="1"/>
      <c r="B124" s="2"/>
      <c r="C124" s="2"/>
      <c r="D124" s="3"/>
      <c r="E124" s="3"/>
      <c r="F124" s="2"/>
      <c r="G124" s="2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5"/>
    </row>
    <row r="125" spans="1:20" x14ac:dyDescent="0.25">
      <c r="A125" s="1"/>
      <c r="B125" s="2"/>
      <c r="C125" s="2"/>
      <c r="D125" s="3"/>
      <c r="E125" s="3"/>
      <c r="F125" s="2"/>
      <c r="G125" s="2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5"/>
    </row>
    <row r="126" spans="1:20" x14ac:dyDescent="0.25">
      <c r="A126" s="1"/>
      <c r="B126" s="2"/>
      <c r="C126" s="2"/>
      <c r="D126" s="3"/>
      <c r="E126" s="3"/>
      <c r="F126" s="2"/>
      <c r="G126" s="2"/>
      <c r="H126" s="4"/>
      <c r="I126" s="2"/>
      <c r="J126" s="2"/>
      <c r="K126" s="66"/>
      <c r="L126" s="2"/>
      <c r="M126" s="2"/>
      <c r="N126" s="2"/>
      <c r="O126" s="2"/>
      <c r="P126" s="2"/>
      <c r="Q126" s="2"/>
      <c r="R126" s="2"/>
      <c r="S126" s="2"/>
      <c r="T126" s="5"/>
    </row>
    <row r="127" spans="1:20" x14ac:dyDescent="0.25">
      <c r="A127" s="1"/>
      <c r="B127" s="2"/>
      <c r="C127" s="2"/>
      <c r="D127" s="3"/>
      <c r="E127" s="3"/>
      <c r="F127" s="2"/>
      <c r="G127" s="2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5"/>
    </row>
    <row r="128" spans="1:20" x14ac:dyDescent="0.25">
      <c r="A128" s="1"/>
      <c r="B128" s="2"/>
      <c r="C128" s="2"/>
      <c r="D128" s="3"/>
      <c r="E128" s="3"/>
      <c r="F128" s="2"/>
      <c r="G128" s="2"/>
      <c r="H128" s="4"/>
      <c r="I128" s="2"/>
      <c r="J128" s="2"/>
      <c r="K128" s="66"/>
      <c r="L128" s="2"/>
      <c r="M128" s="2"/>
      <c r="N128" s="2"/>
      <c r="O128" s="2"/>
      <c r="P128" s="2"/>
      <c r="Q128" s="2"/>
      <c r="R128" s="2"/>
      <c r="S128" s="2"/>
      <c r="T128" s="5"/>
    </row>
    <row r="129" spans="1:20" x14ac:dyDescent="0.25">
      <c r="A129" s="1"/>
      <c r="B129" s="2"/>
      <c r="C129" s="2"/>
      <c r="D129" s="3"/>
      <c r="E129" s="3"/>
      <c r="F129" s="2"/>
      <c r="G129" s="2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5"/>
    </row>
    <row r="130" spans="1:20" x14ac:dyDescent="0.25">
      <c r="A130" s="1"/>
      <c r="B130" s="2"/>
      <c r="C130" s="2"/>
      <c r="D130" s="3"/>
      <c r="E130" s="3"/>
      <c r="F130" s="2"/>
      <c r="G130" s="2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5"/>
    </row>
    <row r="131" spans="1:20" x14ac:dyDescent="0.25">
      <c r="A131" s="1"/>
      <c r="B131" s="2"/>
      <c r="C131" s="2"/>
      <c r="D131" s="3"/>
      <c r="E131" s="3"/>
      <c r="F131" s="2"/>
      <c r="G131" s="2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5"/>
    </row>
    <row r="132" spans="1:20" x14ac:dyDescent="0.25">
      <c r="A132" s="1"/>
      <c r="B132" s="2"/>
      <c r="C132" s="2"/>
      <c r="D132" s="3"/>
      <c r="E132" s="3"/>
      <c r="F132" s="2"/>
      <c r="G132" s="2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5"/>
    </row>
    <row r="133" spans="1:20" x14ac:dyDescent="0.25">
      <c r="A133" s="1"/>
      <c r="B133" s="2"/>
      <c r="C133" s="2"/>
      <c r="D133" s="3"/>
      <c r="E133" s="3"/>
      <c r="F133" s="2"/>
      <c r="G133" s="2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5"/>
    </row>
    <row r="134" spans="1:20" x14ac:dyDescent="0.25">
      <c r="A134" s="1"/>
      <c r="B134" s="2"/>
      <c r="C134" s="2"/>
      <c r="D134" s="3"/>
      <c r="E134" s="3"/>
      <c r="F134" s="2"/>
      <c r="G134" s="2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5"/>
    </row>
    <row r="135" spans="1:20" x14ac:dyDescent="0.25">
      <c r="A135" s="1"/>
      <c r="B135" s="2"/>
      <c r="C135" s="2"/>
      <c r="D135" s="3"/>
      <c r="E135" s="3"/>
      <c r="F135" s="2"/>
      <c r="G135" s="2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5"/>
    </row>
    <row r="136" spans="1:20" x14ac:dyDescent="0.25">
      <c r="A136" s="1"/>
      <c r="B136" s="2"/>
      <c r="C136" s="2"/>
      <c r="D136" s="3"/>
      <c r="E136" s="3"/>
      <c r="F136" s="2"/>
      <c r="G136" s="2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5"/>
    </row>
    <row r="137" spans="1:20" s="5" customFormat="1" x14ac:dyDescent="0.25">
      <c r="A137" s="80"/>
      <c r="B137" s="5"/>
      <c r="C137" s="5"/>
      <c r="D137" s="81"/>
      <c r="E137" s="81"/>
      <c r="F137" s="5"/>
      <c r="G137" s="5"/>
      <c r="H137" s="82"/>
      <c r="I137" s="5"/>
      <c r="J137" s="5"/>
      <c r="K137" s="5"/>
      <c r="L137" s="5"/>
      <c r="M137" s="5"/>
      <c r="N137" s="5"/>
      <c r="O137" s="2"/>
      <c r="P137" s="2"/>
      <c r="Q137" s="2"/>
      <c r="R137" s="2"/>
      <c r="S137" s="5"/>
      <c r="T137" s="5"/>
    </row>
    <row r="138" spans="1:20" x14ac:dyDescent="0.25">
      <c r="A138" s="1"/>
      <c r="B138" s="2"/>
      <c r="C138" s="2"/>
      <c r="D138" s="3"/>
      <c r="E138" s="3"/>
      <c r="F138" s="2"/>
      <c r="G138" s="2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5"/>
    </row>
    <row r="139" spans="1:20" x14ac:dyDescent="0.25">
      <c r="A139" s="1"/>
      <c r="B139" s="2"/>
      <c r="C139" s="2"/>
      <c r="D139" s="3"/>
      <c r="E139" s="3"/>
      <c r="F139" s="2"/>
      <c r="G139" s="2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5"/>
    </row>
    <row r="140" spans="1:20" x14ac:dyDescent="0.25">
      <c r="A140" s="1"/>
      <c r="B140" s="2"/>
      <c r="C140" s="2"/>
      <c r="D140" s="3"/>
      <c r="E140" s="3"/>
      <c r="F140" s="2"/>
      <c r="G140" s="2"/>
      <c r="H140" s="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5"/>
    </row>
    <row r="141" spans="1:20" x14ac:dyDescent="0.25">
      <c r="A141" s="1"/>
      <c r="B141" s="2"/>
      <c r="C141" s="2"/>
      <c r="D141" s="3"/>
      <c r="E141" s="3"/>
      <c r="F141" s="2"/>
      <c r="G141" s="2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5"/>
    </row>
    <row r="142" spans="1:20" x14ac:dyDescent="0.25">
      <c r="A142" s="1"/>
      <c r="B142" s="2"/>
      <c r="C142" s="2"/>
      <c r="D142" s="3"/>
      <c r="E142" s="3"/>
      <c r="F142" s="2"/>
      <c r="G142" s="2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5"/>
    </row>
    <row r="143" spans="1:20" x14ac:dyDescent="0.25">
      <c r="A143" s="1"/>
      <c r="B143" s="2"/>
      <c r="C143" s="2"/>
      <c r="D143" s="3"/>
      <c r="E143" s="3"/>
      <c r="F143" s="2"/>
      <c r="G143" s="2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5"/>
    </row>
    <row r="144" spans="1:20" x14ac:dyDescent="0.25">
      <c r="A144" s="1"/>
      <c r="B144" s="2"/>
      <c r="C144" s="2"/>
      <c r="D144" s="3"/>
      <c r="E144" s="3"/>
      <c r="F144" s="2"/>
      <c r="G144" s="2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5"/>
    </row>
    <row r="145" spans="1:20" x14ac:dyDescent="0.25">
      <c r="A145" s="1"/>
      <c r="B145" s="2"/>
      <c r="C145" s="2"/>
      <c r="D145" s="3"/>
      <c r="E145" s="3"/>
      <c r="F145" s="2"/>
      <c r="G145" s="2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5"/>
    </row>
    <row r="146" spans="1:20" x14ac:dyDescent="0.25">
      <c r="A146" s="1"/>
      <c r="B146" s="2"/>
      <c r="C146" s="2"/>
      <c r="D146" s="3"/>
      <c r="E146" s="3"/>
      <c r="F146" s="2"/>
      <c r="G146" s="2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5"/>
    </row>
    <row r="147" spans="1:20" x14ac:dyDescent="0.25">
      <c r="A147" s="1"/>
      <c r="B147" s="2"/>
      <c r="C147" s="2"/>
      <c r="D147" s="3"/>
      <c r="E147" s="3"/>
      <c r="F147" s="2"/>
      <c r="G147" s="2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5"/>
    </row>
    <row r="148" spans="1:20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2"/>
      <c r="S148" s="2"/>
      <c r="T148" s="5"/>
    </row>
  </sheetData>
  <autoFilter ref="A5:S113"/>
  <mergeCells count="9">
    <mergeCell ref="A1:S1"/>
    <mergeCell ref="A2:S2"/>
    <mergeCell ref="A3:S3"/>
    <mergeCell ref="A4:S4"/>
    <mergeCell ref="A112:E112"/>
    <mergeCell ref="A113:E113"/>
    <mergeCell ref="A116:B116"/>
    <mergeCell ref="G116:H116"/>
    <mergeCell ref="M116:P116"/>
  </mergeCells>
  <pageMargins left="0" right="0" top="0.25" bottom="0.25" header="0.3" footer="0.3"/>
  <pageSetup paperSize="9" orientation="landscape" horizontalDpi="4294967295" verticalDpi="4294967295" blackAndWhite="1" scale="28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workbookViewId="0" zoomScale="38" zoomScaleNormal="55">
      <selection activeCell="F16" sqref="F16"/>
    </sheetView>
  </sheetViews>
  <sheetFormatPr defaultRowHeight="14.4" outlineLevelRow="0" outlineLevelCol="0" x14ac:dyDescent="0.3" defaultColWidth="8.88671875" customHeight="1"/>
  <cols>
    <col min="1" max="1" width="8.88671875" style="5" customWidth="1"/>
    <col min="2" max="2" width="37.6640625" style="5" customWidth="1"/>
    <col min="3" max="3" width="23.44140625" style="5" customWidth="1"/>
    <col min="4" max="4" width="24" style="5" customWidth="1"/>
    <col min="5" max="5" width="17.6640625" style="5" customWidth="1"/>
    <col min="6" max="6" width="19.6640625" style="5" customWidth="1"/>
    <col min="7" max="8" width="20.6640625" style="5" customWidth="1"/>
    <col min="9" max="9" width="19.33203125" style="5" customWidth="1"/>
    <col min="10" max="10" width="21.33203125" style="5" customWidth="1"/>
    <col min="11" max="11" width="19.88671875" style="5" customWidth="1"/>
    <col min="12" max="12" width="18.109375" style="5" customWidth="1"/>
    <col min="13" max="14" width="17.5546875" style="5" customWidth="1"/>
    <col min="15" max="15" width="17" style="5" customWidth="1"/>
    <col min="16" max="16" width="18.44140625" style="5" customWidth="1"/>
    <col min="17" max="17" width="17.6640625" style="5" customWidth="1"/>
    <col min="18" max="18" width="20.6640625" style="5" customWidth="1"/>
    <col min="19" max="19" width="21.33203125" style="5" customWidth="1"/>
    <col min="20" max="20" width="21.88671875" style="5" customWidth="1"/>
    <col min="21" max="16384" width="8.88671875" style="5" customWidth="1"/>
  </cols>
  <sheetData>
    <row r="1" ht="34.8" customHeight="1" spans="1:20" x14ac:dyDescent="0.25">
      <c r="A1" s="294" t="s">
        <v>0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5"/>
    </row>
    <row r="2" ht="34.8" customHeight="1" spans="1:20" x14ac:dyDescent="0.25">
      <c r="A2" s="7" t="s">
        <v>303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5"/>
    </row>
    <row r="3" ht="34.8" customHeight="1" spans="1:20" x14ac:dyDescent="0.25">
      <c r="A3" s="295" t="s">
        <v>304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5"/>
    </row>
    <row r="4" ht="24.6" customHeight="1" spans="1:20" x14ac:dyDescent="0.25">
      <c r="A4" s="296"/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96"/>
      <c r="S4" s="296"/>
      <c r="T4" s="5"/>
    </row>
    <row r="5" ht="73.8" customHeight="1" spans="1:20" x14ac:dyDescent="0.25">
      <c r="A5" s="297" t="s">
        <v>3</v>
      </c>
      <c r="B5" s="298" t="s">
        <v>4</v>
      </c>
      <c r="C5" s="299" t="s">
        <v>5</v>
      </c>
      <c r="D5" s="299" t="s">
        <v>277</v>
      </c>
      <c r="E5" s="300" t="s">
        <v>7</v>
      </c>
      <c r="F5" s="301" t="s">
        <v>8</v>
      </c>
      <c r="G5" s="301" t="s">
        <v>9</v>
      </c>
      <c r="H5" s="302" t="s">
        <v>10</v>
      </c>
      <c r="I5" s="303" t="s">
        <v>11</v>
      </c>
      <c r="J5" s="304" t="s">
        <v>12</v>
      </c>
      <c r="K5" s="304" t="s">
        <v>13</v>
      </c>
      <c r="L5" s="304" t="s">
        <v>14</v>
      </c>
      <c r="M5" s="302" t="s">
        <v>15</v>
      </c>
      <c r="N5" s="304" t="s">
        <v>16</v>
      </c>
      <c r="O5" s="304" t="s">
        <v>17</v>
      </c>
      <c r="P5" s="304" t="s">
        <v>18</v>
      </c>
      <c r="Q5" s="298" t="s">
        <v>19</v>
      </c>
      <c r="R5" s="305" t="s">
        <v>20</v>
      </c>
      <c r="S5" s="303" t="s">
        <v>21</v>
      </c>
      <c r="T5" s="5"/>
    </row>
    <row r="6" ht="25.2" customHeight="1" spans="1:20" x14ac:dyDescent="0.25">
      <c r="A6" s="306">
        <v>1</v>
      </c>
      <c r="B6" s="307" t="s">
        <v>305</v>
      </c>
      <c r="C6" s="306" t="s">
        <v>122</v>
      </c>
      <c r="D6" s="306" t="s">
        <v>221</v>
      </c>
      <c r="E6" s="19">
        <v>30</v>
      </c>
      <c r="F6" s="21">
        <v>35344.83</v>
      </c>
      <c r="G6" s="22">
        <f>+F6/30*E6</f>
        <v>35344.83</v>
      </c>
      <c r="H6" s="23"/>
      <c r="I6" s="24"/>
      <c r="J6" s="52">
        <f>G6+H6+I6</f>
        <v>35344.83</v>
      </c>
      <c r="K6" s="26">
        <f>G6+H6+I6</f>
        <v>35344.83</v>
      </c>
      <c r="L6" s="22">
        <f>IF(K6&lt;=2000,(0),IF(K6&lt;=4000,(K6*0.15)-300,IF(K6&lt;=7000,(K6*0.2)-500,IF(K6&lt;=10000,(K6*0.25)-850,IF(K6&lt;=14000,(K6*0.3)-1350,IF(K6&gt;14000,(K6*0.35)-2050))))))</f>
        <v>10320.6905</v>
      </c>
      <c r="M6" s="26">
        <f t="shared" ref="M6:M11" si="0">F6*0.07</f>
        <v>2474.1381000000006</v>
      </c>
      <c r="N6" s="26">
        <f t="shared" ref="N6:N11" si="1">F6*0.11</f>
        <v>3887.9313</v>
      </c>
      <c r="O6" s="25"/>
      <c r="P6" s="22">
        <f>L6+M6+O6</f>
        <v>12794.8286</v>
      </c>
      <c r="Q6" s="24">
        <v>2000</v>
      </c>
      <c r="R6" s="22">
        <f>J6-P6+Q6</f>
        <v>24550.0014</v>
      </c>
      <c r="S6" s="22"/>
      <c r="T6" s="37"/>
    </row>
    <row r="7" ht="25.2" customHeight="1" spans="1:20" x14ac:dyDescent="0.25">
      <c r="A7" s="48">
        <v>2</v>
      </c>
      <c r="B7" s="47" t="s">
        <v>306</v>
      </c>
      <c r="C7" s="308" t="s">
        <v>307</v>
      </c>
      <c r="D7" s="48" t="s">
        <v>221</v>
      </c>
      <c r="E7" s="309">
        <v>30</v>
      </c>
      <c r="F7" s="49">
        <v>4794.52</v>
      </c>
      <c r="G7" s="22">
        <f t="shared" ref="G7:G13" si="2">+F7/30*E7</f>
        <v>4794.52</v>
      </c>
      <c r="H7" s="54"/>
      <c r="I7" s="24">
        <f>2519.64</f>
        <v>2519.64</v>
      </c>
      <c r="J7" s="52">
        <f>G7+H7+I7</f>
        <v>7314.16</v>
      </c>
      <c r="K7" s="53">
        <f>G7+H7+I7</f>
        <v>7314.16</v>
      </c>
      <c r="L7" s="54">
        <f>IF(K7&lt;=2000,(0),IF(K7&lt;=4000,(K7*0.15)-300,IF(K7&lt;=7000,(K7*0.2)-500,IF(K7&lt;=10000,(K7*0.25)-850,IF(K7&lt;=14000,(K7*0.3)-1350,IF(K7&gt;14000,(K7*0.35)-2050))))))</f>
        <v>978.54</v>
      </c>
      <c r="M7" s="53">
        <f t="shared" si="0"/>
        <v>335.61640000000006</v>
      </c>
      <c r="N7" s="53">
        <f t="shared" si="1"/>
        <v>527.3972</v>
      </c>
      <c r="O7" s="52"/>
      <c r="P7" s="54">
        <f>L7+M7+O7</f>
        <v>1314.1564</v>
      </c>
      <c r="Q7" s="52">
        <v>1000</v>
      </c>
      <c r="R7" s="54">
        <f>J7-P7+Q7</f>
        <v>7000.0036</v>
      </c>
      <c r="S7" s="22"/>
      <c r="T7" s="37"/>
    </row>
    <row r="8" ht="25.2" customHeight="1" spans="1:20" x14ac:dyDescent="0.25">
      <c r="A8" s="306">
        <v>3</v>
      </c>
      <c r="B8" s="47" t="s">
        <v>308</v>
      </c>
      <c r="C8" s="48" t="s">
        <v>23</v>
      </c>
      <c r="D8" s="48" t="s">
        <v>221</v>
      </c>
      <c r="E8" s="48">
        <v>30</v>
      </c>
      <c r="F8" s="49">
        <v>1740.39</v>
      </c>
      <c r="G8" s="22">
        <f t="shared" si="2"/>
        <v>1740.39</v>
      </c>
      <c r="H8" s="54"/>
      <c r="I8" s="51"/>
      <c r="J8" s="52">
        <f t="shared" ref="J8:J14" si="3">G8+H8+I8</f>
        <v>1740.39</v>
      </c>
      <c r="K8" s="53">
        <f t="shared" ref="K8:K14" si="4">G8+H8+I8</f>
        <v>1740.39</v>
      </c>
      <c r="L8" s="54">
        <f t="shared" ref="L8:L14" si="5">IF(K8&lt;=2000,(0),IF(K8&lt;=4000,(K8*0.15)-300,IF(K8&lt;=7000,(K8*0.2)-500,IF(K8&lt;=10000,(K8*0.25)-850,IF(K8&lt;=14000,(K8*0.3)-1350,IF(K8&gt;14000,(K8*0.35)-2050))))))</f>
        <v>0</v>
      </c>
      <c r="M8" s="53">
        <f t="shared" si="0"/>
        <v>121.82730000000002</v>
      </c>
      <c r="N8" s="53">
        <f t="shared" si="1"/>
        <v>191.4429</v>
      </c>
      <c r="O8" s="52"/>
      <c r="P8" s="54">
        <f t="shared" ref="P8:P14" si="6">L8+M8+O8</f>
        <v>121.82730000000002</v>
      </c>
      <c r="Q8" s="51"/>
      <c r="R8" s="54">
        <f t="shared" ref="R8:R14" si="7">J8-P8+Q8</f>
        <v>1618.5627000000002</v>
      </c>
      <c r="S8" s="22"/>
      <c r="T8" s="37"/>
    </row>
    <row r="9" ht="25.2" customHeight="1" spans="1:20" x14ac:dyDescent="0.25">
      <c r="A9" s="306">
        <v>5</v>
      </c>
      <c r="B9" s="47" t="s">
        <v>309</v>
      </c>
      <c r="C9" s="48" t="s">
        <v>23</v>
      </c>
      <c r="D9" s="48" t="s">
        <v>223</v>
      </c>
      <c r="E9" s="48">
        <v>30</v>
      </c>
      <c r="F9" s="49">
        <v>1740.39</v>
      </c>
      <c r="G9" s="22">
        <f>+F9/30*E9</f>
        <v>1740.39</v>
      </c>
      <c r="H9" s="54"/>
      <c r="I9" s="51"/>
      <c r="J9" s="52">
        <f t="shared" si="3"/>
        <v>1740.39</v>
      </c>
      <c r="K9" s="53">
        <f t="shared" si="4"/>
        <v>1740.39</v>
      </c>
      <c r="L9" s="54">
        <f t="shared" si="5"/>
        <v>0</v>
      </c>
      <c r="M9" s="53">
        <f t="shared" si="0"/>
        <v>121.82730000000002</v>
      </c>
      <c r="N9" s="53">
        <f t="shared" si="1"/>
        <v>191.4429</v>
      </c>
      <c r="O9" s="52"/>
      <c r="P9" s="54">
        <f t="shared" si="6"/>
        <v>121.82730000000002</v>
      </c>
      <c r="Q9" s="52"/>
      <c r="R9" s="54">
        <f t="shared" si="7"/>
        <v>1618.5627000000002</v>
      </c>
      <c r="S9" s="22"/>
      <c r="T9" s="37"/>
    </row>
    <row r="10" ht="25.2" customHeight="1" spans="1:20" x14ac:dyDescent="0.25">
      <c r="A10" s="48">
        <v>6</v>
      </c>
      <c r="B10" s="20" t="s">
        <v>310</v>
      </c>
      <c r="C10" s="19" t="s">
        <v>40</v>
      </c>
      <c r="D10" s="19" t="s">
        <v>223</v>
      </c>
      <c r="E10" s="19">
        <v>30</v>
      </c>
      <c r="F10" s="21">
        <v>8007.94</v>
      </c>
      <c r="G10" s="22">
        <f t="shared" si="2"/>
        <v>8007.94</v>
      </c>
      <c r="H10" s="22"/>
      <c r="I10" s="24">
        <f>2857.14</f>
        <v>2857.14</v>
      </c>
      <c r="J10" s="52">
        <f t="shared" si="3"/>
        <v>10865.08</v>
      </c>
      <c r="K10" s="53">
        <f t="shared" si="4"/>
        <v>10865.08</v>
      </c>
      <c r="L10" s="54">
        <f t="shared" si="5"/>
        <v>1909.524</v>
      </c>
      <c r="M10" s="53">
        <f t="shared" si="0"/>
        <v>560.5558</v>
      </c>
      <c r="N10" s="53">
        <f t="shared" si="1"/>
        <v>880.8734</v>
      </c>
      <c r="O10" s="25"/>
      <c r="P10" s="54">
        <f t="shared" si="6"/>
        <v>2470.0798</v>
      </c>
      <c r="Q10" s="24">
        <v>1000</v>
      </c>
      <c r="R10" s="54">
        <f t="shared" si="7"/>
        <v>9395.0002</v>
      </c>
      <c r="S10" s="22"/>
      <c r="T10" s="37"/>
    </row>
    <row r="11" ht="25.2" customHeight="1" spans="1:20" x14ac:dyDescent="0.25">
      <c r="A11" s="306">
        <v>7</v>
      </c>
      <c r="B11" s="47" t="s">
        <v>311</v>
      </c>
      <c r="C11" s="48" t="s">
        <v>59</v>
      </c>
      <c r="D11" s="48" t="s">
        <v>221</v>
      </c>
      <c r="E11" s="48">
        <v>30</v>
      </c>
      <c r="F11" s="49">
        <v>10701.98</v>
      </c>
      <c r="G11" s="22">
        <f t="shared" si="2"/>
        <v>10701.98</v>
      </c>
      <c r="H11" s="54"/>
      <c r="I11" s="233">
        <f>2857.14</f>
        <v>2857.14</v>
      </c>
      <c r="J11" s="52">
        <f t="shared" si="3"/>
        <v>13559.119999999999</v>
      </c>
      <c r="K11" s="53">
        <f t="shared" si="4"/>
        <v>13559.119999999999</v>
      </c>
      <c r="L11" s="54">
        <f t="shared" si="5"/>
        <v>2717.7359999999994</v>
      </c>
      <c r="M11" s="53">
        <f t="shared" si="0"/>
        <v>749.1386</v>
      </c>
      <c r="N11" s="53">
        <f t="shared" si="1"/>
        <v>1177.2178</v>
      </c>
      <c r="O11" s="52"/>
      <c r="P11" s="54">
        <f t="shared" si="6"/>
        <v>3466.874599999999</v>
      </c>
      <c r="Q11" s="51"/>
      <c r="R11" s="54">
        <f t="shared" si="7"/>
        <v>10092.2454</v>
      </c>
      <c r="S11" s="22"/>
      <c r="T11" s="37"/>
    </row>
    <row r="12" ht="25.2" customHeight="1" spans="1:20" x14ac:dyDescent="0.25">
      <c r="A12" s="48">
        <v>8</v>
      </c>
      <c r="B12" s="47" t="s">
        <v>312</v>
      </c>
      <c r="C12" s="48" t="s">
        <v>64</v>
      </c>
      <c r="D12" s="48" t="s">
        <v>221</v>
      </c>
      <c r="E12" s="48">
        <v>30</v>
      </c>
      <c r="F12" s="49">
        <v>4380.14</v>
      </c>
      <c r="G12" s="22">
        <f t="shared" si="2"/>
        <v>4380.14</v>
      </c>
      <c r="H12" s="54"/>
      <c r="I12" s="51"/>
      <c r="J12" s="52">
        <f t="shared" si="3"/>
        <v>4380.14</v>
      </c>
      <c r="K12" s="53">
        <f t="shared" si="4"/>
        <v>4380.14</v>
      </c>
      <c r="L12" s="54">
        <f t="shared" si="5"/>
        <v>376.02800000000013</v>
      </c>
      <c r="M12" s="234"/>
      <c r="N12" s="234"/>
      <c r="O12" s="52"/>
      <c r="P12" s="54">
        <f t="shared" si="6"/>
        <v>376.02800000000013</v>
      </c>
      <c r="Q12" s="51"/>
      <c r="R12" s="54">
        <f t="shared" si="7"/>
        <v>4004.112</v>
      </c>
      <c r="S12" s="22"/>
      <c r="T12" s="37"/>
    </row>
    <row r="13" ht="25.2" customHeight="1" spans="1:20" x14ac:dyDescent="0.25">
      <c r="A13" s="306">
        <v>9</v>
      </c>
      <c r="B13" s="310" t="s">
        <v>313</v>
      </c>
      <c r="C13" s="48" t="s">
        <v>40</v>
      </c>
      <c r="D13" s="48" t="s">
        <v>221</v>
      </c>
      <c r="E13" s="48">
        <v>30</v>
      </c>
      <c r="F13" s="21">
        <v>7573.53</v>
      </c>
      <c r="G13" s="22">
        <f t="shared" si="2"/>
        <v>7573.53</v>
      </c>
      <c r="H13" s="23"/>
      <c r="I13" s="24">
        <f>2683.83/30*E13</f>
        <v>2683.83</v>
      </c>
      <c r="J13" s="25">
        <f t="shared" si="3"/>
        <v>10257.36</v>
      </c>
      <c r="K13" s="26">
        <f t="shared" si="4"/>
        <v>10257.36</v>
      </c>
      <c r="L13" s="22">
        <f t="shared" si="5"/>
        <v>1727.208</v>
      </c>
      <c r="M13" s="53">
        <f>F13*0.07</f>
        <v>530.1471</v>
      </c>
      <c r="N13" s="53">
        <f>F13*0.11</f>
        <v>833.0883</v>
      </c>
      <c r="O13" s="25"/>
      <c r="P13" s="22">
        <f t="shared" si="6"/>
        <v>2257.3551</v>
      </c>
      <c r="Q13" s="24">
        <f>1000/30*E13</f>
        <v>1000.0000000000001</v>
      </c>
      <c r="R13" s="22">
        <f t="shared" si="7"/>
        <v>9000.0049</v>
      </c>
      <c r="S13" s="22"/>
      <c r="T13" s="37"/>
    </row>
    <row r="14" ht="31.2" customHeight="1" spans="1:21" s="311" customFormat="1" x14ac:dyDescent="0.25">
      <c r="A14" s="48">
        <v>10</v>
      </c>
      <c r="B14" s="307" t="s">
        <v>314</v>
      </c>
      <c r="C14" s="48" t="s">
        <v>91</v>
      </c>
      <c r="D14" s="48" t="s">
        <v>221</v>
      </c>
      <c r="E14" s="48">
        <v>30</v>
      </c>
      <c r="F14" s="49">
        <v>17155.18</v>
      </c>
      <c r="G14" s="22">
        <f>+F14/30*E14</f>
        <v>17155.18</v>
      </c>
      <c r="H14" s="23"/>
      <c r="I14" s="29"/>
      <c r="J14" s="25">
        <f t="shared" si="3"/>
        <v>17155.18</v>
      </c>
      <c r="K14" s="26">
        <f t="shared" si="4"/>
        <v>17155.18</v>
      </c>
      <c r="L14" s="22">
        <f t="shared" si="5"/>
        <v>3954.313</v>
      </c>
      <c r="M14" s="53">
        <f>F14*0.07</f>
        <v>1200.8626000000002</v>
      </c>
      <c r="N14" s="53">
        <f>F14*0.11</f>
        <v>1887.0698</v>
      </c>
      <c r="O14" s="52"/>
      <c r="P14" s="22">
        <f t="shared" si="6"/>
        <v>5155.1756000000005</v>
      </c>
      <c r="Q14" s="29">
        <v>1000</v>
      </c>
      <c r="R14" s="22">
        <f t="shared" si="7"/>
        <v>13000.0044</v>
      </c>
      <c r="S14" s="22"/>
      <c r="T14" s="76"/>
      <c r="U14" s="76"/>
    </row>
    <row r="15" ht="27.6" customHeight="1" spans="1:20" x14ac:dyDescent="0.25">
      <c r="A15" s="312" t="s">
        <v>170</v>
      </c>
      <c r="B15" s="312"/>
      <c r="C15" s="312"/>
      <c r="D15" s="312"/>
      <c r="E15" s="312"/>
      <c r="F15" s="146">
        <f>SUM(F6:F14)</f>
        <v>91438.9</v>
      </c>
      <c r="G15" s="146">
        <f t="shared" ref="G15:Q15" si="8">SUM(G6:G14)</f>
        <v>91438.9</v>
      </c>
      <c r="H15" s="146">
        <f>SUM(H6:H14)</f>
        <v>0</v>
      </c>
      <c r="I15" s="146">
        <f t="shared" si="8"/>
        <v>10917.75</v>
      </c>
      <c r="J15" s="146">
        <f t="shared" si="8"/>
        <v>102356.65</v>
      </c>
      <c r="K15" s="146">
        <f t="shared" si="8"/>
        <v>102356.65</v>
      </c>
      <c r="L15" s="146">
        <f t="shared" si="8"/>
        <v>21984.0395</v>
      </c>
      <c r="M15" s="146">
        <f t="shared" si="8"/>
        <v>6094.113200000001</v>
      </c>
      <c r="N15" s="146">
        <f t="shared" si="8"/>
        <v>9576.463600000001</v>
      </c>
      <c r="O15" s="146">
        <f t="shared" si="8"/>
        <v>0</v>
      </c>
      <c r="P15" s="146">
        <f t="shared" si="8"/>
        <v>28078.1527</v>
      </c>
      <c r="Q15" s="146">
        <f t="shared" si="8"/>
        <v>6000</v>
      </c>
      <c r="R15" s="146">
        <f>SUM(R6:R14)</f>
        <v>80278.49730000002</v>
      </c>
      <c r="S15" s="54"/>
      <c r="T15" s="5"/>
    </row>
    <row r="16" ht="27.6" customHeight="1" spans="1:20" x14ac:dyDescent="0.25">
      <c r="A16" s="313"/>
      <c r="B16" s="313"/>
      <c r="C16" s="313"/>
      <c r="D16" s="313"/>
      <c r="E16" s="313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314"/>
      <c r="T16" s="5"/>
    </row>
    <row r="17" spans="1:20" x14ac:dyDescent="0.25">
      <c r="A17" s="315"/>
      <c r="B17" s="316"/>
      <c r="C17" s="316"/>
      <c r="D17" s="317"/>
      <c r="E17" s="317"/>
      <c r="F17" s="316"/>
      <c r="G17" s="316"/>
      <c r="H17" s="316"/>
      <c r="I17" s="316"/>
      <c r="J17" s="318"/>
      <c r="K17" s="316"/>
      <c r="L17" s="316"/>
      <c r="M17" s="316"/>
      <c r="N17" s="316"/>
      <c r="O17" s="316"/>
      <c r="P17" s="316"/>
      <c r="Q17" s="316"/>
      <c r="R17" s="316"/>
      <c r="S17" s="316"/>
      <c r="T17" s="5"/>
    </row>
    <row r="18" ht="25.2" customHeight="1" spans="1:20" x14ac:dyDescent="0.25">
      <c r="A18" s="319" t="s">
        <v>171</v>
      </c>
      <c r="B18" s="319"/>
      <c r="C18" s="319"/>
      <c r="D18" s="319"/>
      <c r="E18" s="320"/>
      <c r="F18" s="321"/>
      <c r="G18" s="319" t="s">
        <v>172</v>
      </c>
      <c r="H18" s="319"/>
      <c r="I18" s="319"/>
      <c r="J18" s="314"/>
      <c r="K18" s="314"/>
      <c r="L18" s="314"/>
      <c r="M18" s="319" t="s">
        <v>173</v>
      </c>
      <c r="N18" s="319"/>
      <c r="O18" s="319"/>
      <c r="P18" s="319"/>
      <c r="Q18" s="319"/>
      <c r="R18" s="322"/>
      <c r="S18" s="321"/>
      <c r="T18" s="5"/>
    </row>
    <row r="19" ht="25.8" customHeight="1" spans="1:20" x14ac:dyDescent="0.25">
      <c r="A19" s="323" t="s">
        <v>174</v>
      </c>
      <c r="B19" s="321"/>
      <c r="C19" s="321"/>
      <c r="D19" s="324"/>
      <c r="E19" s="324"/>
      <c r="F19" s="321"/>
      <c r="G19" s="325" t="s">
        <v>175</v>
      </c>
      <c r="H19" s="321"/>
      <c r="I19" s="321"/>
      <c r="J19" s="326"/>
      <c r="K19" s="314"/>
      <c r="L19" s="314"/>
      <c r="M19" s="325" t="s">
        <v>175</v>
      </c>
      <c r="N19" s="325"/>
      <c r="O19" s="325"/>
      <c r="P19" s="321"/>
      <c r="Q19" s="321"/>
      <c r="R19" s="314"/>
      <c r="S19" s="321"/>
      <c r="T19" s="5"/>
    </row>
    <row r="20" ht="25.8" customHeight="1" spans="1:20" x14ac:dyDescent="0.25">
      <c r="A20" s="323" t="s">
        <v>176</v>
      </c>
      <c r="B20" s="321"/>
      <c r="C20" s="321"/>
      <c r="D20" s="324"/>
      <c r="E20" s="324"/>
      <c r="F20" s="321"/>
      <c r="G20" s="325" t="s">
        <v>177</v>
      </c>
      <c r="H20" s="321"/>
      <c r="I20" s="321"/>
      <c r="J20" s="326"/>
      <c r="K20" s="314"/>
      <c r="L20" s="314"/>
      <c r="M20" s="325" t="s">
        <v>177</v>
      </c>
      <c r="N20" s="325"/>
      <c r="O20" s="325"/>
      <c r="P20" s="321"/>
      <c r="Q20" s="321"/>
      <c r="R20" s="314"/>
      <c r="S20" s="321"/>
      <c r="T20" s="5"/>
    </row>
    <row r="21" ht="25.2" customHeight="1" spans="1:20" x14ac:dyDescent="0.25">
      <c r="A21" s="323" t="s">
        <v>178</v>
      </c>
      <c r="B21" s="321"/>
      <c r="C21" s="321"/>
      <c r="D21" s="324"/>
      <c r="E21" s="324"/>
      <c r="F21" s="321"/>
      <c r="G21" s="325" t="s">
        <v>179</v>
      </c>
      <c r="H21" s="321"/>
      <c r="I21" s="314"/>
      <c r="J21" s="314"/>
      <c r="K21" s="321"/>
      <c r="L21" s="321"/>
      <c r="M21" s="325" t="s">
        <v>179</v>
      </c>
      <c r="N21" s="325"/>
      <c r="O21" s="325"/>
      <c r="P21" s="321"/>
      <c r="Q21" s="314"/>
      <c r="R21" s="321"/>
      <c r="S21" s="321"/>
      <c r="T21" s="5"/>
    </row>
    <row r="22" spans="1:20" x14ac:dyDescent="0.25">
      <c r="A22" s="315"/>
      <c r="B22" s="316"/>
      <c r="C22" s="316"/>
      <c r="D22" s="317"/>
      <c r="E22" s="317"/>
      <c r="F22" s="327"/>
      <c r="G22" s="316"/>
      <c r="H22" s="316"/>
      <c r="I22" s="316"/>
      <c r="J22" s="316"/>
      <c r="K22" s="316"/>
      <c r="L22" s="316"/>
      <c r="M22" s="316"/>
      <c r="N22" s="316"/>
      <c r="O22" s="316"/>
      <c r="P22" s="316"/>
      <c r="Q22" s="316"/>
      <c r="R22" s="316"/>
      <c r="S22" s="316"/>
      <c r="T22" s="5"/>
    </row>
  </sheetData>
  <autoFilter ref="A5:S15"/>
  <mergeCells count="8">
    <mergeCell ref="A1:S1"/>
    <mergeCell ref="A2:S2"/>
    <mergeCell ref="A3:S3"/>
    <mergeCell ref="A4:S4"/>
    <mergeCell ref="A15:E15"/>
    <mergeCell ref="A18:B18"/>
    <mergeCell ref="G18:H18"/>
    <mergeCell ref="M18:P1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workbookViewId="0" zoomScale="54" zoomScaleNormal="100">
      <selection activeCell="I7" sqref="I7"/>
    </sheetView>
  </sheetViews>
  <sheetFormatPr defaultRowHeight="14.4" outlineLevelRow="0" outlineLevelCol="0" x14ac:dyDescent="0.3" defaultColWidth="8.88671875" customHeight="1"/>
  <cols>
    <col min="1" max="1" width="8.88671875" style="138" customWidth="1"/>
    <col min="2" max="2" width="33.109375" style="138" customWidth="1"/>
    <col min="3" max="3" width="15.44140625" style="138" customWidth="1"/>
    <col min="4" max="4" width="15.33203125" style="138" customWidth="1"/>
    <col min="5" max="5" width="16.109375" style="138" customWidth="1"/>
    <col min="6" max="6" width="21.44140625" style="138" customWidth="1"/>
    <col min="7" max="8" width="19.33203125" style="138" customWidth="1"/>
    <col min="9" max="9" width="22.5546875" style="138" customWidth="1"/>
    <col min="10" max="10" width="19.33203125" style="138" customWidth="1"/>
    <col min="11" max="11" width="20.44140625" style="138" customWidth="1"/>
    <col min="12" max="12" width="17.33203125" style="138" customWidth="1"/>
    <col min="13" max="13" width="21.44140625" style="138" customWidth="1"/>
    <col min="14" max="15" width="17.6640625" style="138" customWidth="1"/>
    <col min="16" max="16" width="19.33203125" style="138" customWidth="1"/>
    <col min="17" max="17" width="17.44140625" style="138" customWidth="1"/>
    <col min="18" max="18" width="23.44140625" style="138" customWidth="1"/>
    <col min="19" max="19" width="20.44140625" style="138" customWidth="1"/>
    <col min="20" max="20" width="10.6640625" style="138" customWidth="1"/>
    <col min="21" max="16384" width="8.88671875" style="138" customWidth="1"/>
  </cols>
  <sheetData>
    <row r="1" ht="34.8" customHeight="1" spans="1:20" x14ac:dyDescent="0.25">
      <c r="A1" s="250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138"/>
    </row>
    <row r="2" ht="34.8" customHeight="1" spans="1:20" x14ac:dyDescent="0.25">
      <c r="A2" s="251" t="s">
        <v>300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138"/>
    </row>
    <row r="3" ht="34.8" customHeight="1" spans="1:20" x14ac:dyDescent="0.25">
      <c r="A3" s="205" t="s">
        <v>181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138"/>
    </row>
    <row r="4" ht="24.6" customHeight="1" spans="1:20" x14ac:dyDescent="0.25">
      <c r="A4" s="252"/>
      <c r="B4" s="252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138"/>
    </row>
    <row r="5" ht="73.8" customHeight="1" spans="1:20" s="288" customFormat="1" x14ac:dyDescent="0.25">
      <c r="A5" s="208" t="s">
        <v>3</v>
      </c>
      <c r="B5" s="209" t="s">
        <v>4</v>
      </c>
      <c r="C5" s="209" t="s">
        <v>5</v>
      </c>
      <c r="D5" s="210" t="s">
        <v>277</v>
      </c>
      <c r="E5" s="210" t="s">
        <v>7</v>
      </c>
      <c r="F5" s="211" t="s">
        <v>8</v>
      </c>
      <c r="G5" s="211" t="s">
        <v>9</v>
      </c>
      <c r="H5" s="213" t="s">
        <v>10</v>
      </c>
      <c r="I5" s="212" t="s">
        <v>11</v>
      </c>
      <c r="J5" s="209" t="s">
        <v>12</v>
      </c>
      <c r="K5" s="209" t="s">
        <v>13</v>
      </c>
      <c r="L5" s="209" t="s">
        <v>14</v>
      </c>
      <c r="M5" s="213" t="s">
        <v>15</v>
      </c>
      <c r="N5" s="209" t="s">
        <v>16</v>
      </c>
      <c r="O5" s="209" t="s">
        <v>17</v>
      </c>
      <c r="P5" s="209" t="s">
        <v>18</v>
      </c>
      <c r="Q5" s="214" t="s">
        <v>19</v>
      </c>
      <c r="R5" s="209" t="s">
        <v>20</v>
      </c>
      <c r="S5" s="208" t="s">
        <v>21</v>
      </c>
      <c r="T5" s="288"/>
    </row>
    <row r="6" ht="25.2" customHeight="1" spans="1:20" x14ac:dyDescent="0.25">
      <c r="A6" s="289">
        <v>1</v>
      </c>
      <c r="B6" s="290" t="s">
        <v>301</v>
      </c>
      <c r="C6" s="289" t="s">
        <v>302</v>
      </c>
      <c r="D6" s="289" t="s">
        <v>217</v>
      </c>
      <c r="E6" s="289">
        <v>30</v>
      </c>
      <c r="F6" s="41">
        <v>17155.18</v>
      </c>
      <c r="G6" s="220">
        <f>+F6/30*E6</f>
        <v>17155.18</v>
      </c>
      <c r="H6" s="291">
        <v>16483</v>
      </c>
      <c r="I6" s="24">
        <v>3076.92</v>
      </c>
      <c r="J6" s="221">
        <f>G6+H6+I6</f>
        <v>36715.1</v>
      </c>
      <c r="K6" s="222">
        <f>G6+H6+I6</f>
        <v>36715.1</v>
      </c>
      <c r="L6" s="220">
        <f>IF(K6&lt;=2000,(0),IF(K6&lt;=4000,(K6*0.15)-300,IF(K6&lt;=7000,(K6*0.2)-500,IF(K6&lt;=10000,(K6*0.25)-850,IF(K6&lt;=14000,(K6*0.3)-1350,IF(K6&gt;14000,(K6*0.35)-2050))))))</f>
        <v>10800.284999999998</v>
      </c>
      <c r="M6" s="222">
        <f>F6*0.07</f>
        <v>1200.8626000000002</v>
      </c>
      <c r="N6" s="222">
        <f>F6*0.11</f>
        <v>1887.0698</v>
      </c>
      <c r="O6" s="221"/>
      <c r="P6" s="220">
        <f>L6+M6+O6</f>
        <v>12001.147599999998</v>
      </c>
      <c r="Q6" s="43"/>
      <c r="R6" s="220">
        <f>J6-P6+Q6</f>
        <v>24713.952400000002</v>
      </c>
      <c r="S6" s="291"/>
      <c r="T6" s="141"/>
    </row>
    <row r="7" ht="25.2" customHeight="1" spans="1:20" x14ac:dyDescent="0.25">
      <c r="A7" s="292" t="s">
        <v>170</v>
      </c>
      <c r="B7" s="292"/>
      <c r="C7" s="292"/>
      <c r="D7" s="292"/>
      <c r="E7" s="292"/>
      <c r="F7" s="293">
        <f>SUM(F6:F6)</f>
        <v>17155.18</v>
      </c>
      <c r="G7" s="293">
        <f>SUM(G6:G6)</f>
        <v>17155.18</v>
      </c>
      <c r="H7" s="293">
        <f t="shared" ref="H7:Q7" si="0">SUM(H6:H6)</f>
        <v>16483</v>
      </c>
      <c r="I7" s="293">
        <f t="shared" si="0"/>
        <v>3076.92</v>
      </c>
      <c r="J7" s="293">
        <f t="shared" si="0"/>
        <v>36715.1</v>
      </c>
      <c r="K7" s="293">
        <f t="shared" si="0"/>
        <v>36715.1</v>
      </c>
      <c r="L7" s="293">
        <f t="shared" si="0"/>
        <v>10800.284999999998</v>
      </c>
      <c r="M7" s="293">
        <f t="shared" si="0"/>
        <v>1200.8626000000002</v>
      </c>
      <c r="N7" s="293">
        <f t="shared" si="0"/>
        <v>1887.0698</v>
      </c>
      <c r="O7" s="293">
        <f t="shared" si="0"/>
        <v>0</v>
      </c>
      <c r="P7" s="293">
        <f t="shared" si="0"/>
        <v>12001.147599999998</v>
      </c>
      <c r="Q7" s="293">
        <f t="shared" si="0"/>
        <v>0</v>
      </c>
      <c r="R7" s="293">
        <f>SUM(R6:R6)</f>
        <v>24713.952400000002</v>
      </c>
      <c r="S7" s="232"/>
      <c r="T7" s="138"/>
    </row>
    <row r="8" spans="1:20" x14ac:dyDescent="0.25">
      <c r="A8" s="237"/>
      <c r="B8" s="238"/>
      <c r="C8" s="238"/>
      <c r="D8" s="239"/>
      <c r="E8" s="239"/>
      <c r="F8" s="238"/>
      <c r="G8" s="238"/>
      <c r="H8" s="238"/>
      <c r="I8" s="238"/>
      <c r="J8" s="240"/>
      <c r="K8" s="238"/>
      <c r="L8" s="238"/>
      <c r="M8" s="238"/>
      <c r="N8" s="238"/>
      <c r="O8" s="238"/>
      <c r="P8" s="238"/>
      <c r="Q8" s="238"/>
      <c r="R8" s="238"/>
      <c r="S8" s="238"/>
      <c r="T8" s="138"/>
    </row>
    <row r="9" ht="25.2" customHeight="1" spans="1:20" x14ac:dyDescent="0.25">
      <c r="A9" s="241" t="s">
        <v>171</v>
      </c>
      <c r="B9" s="241"/>
      <c r="C9" s="241"/>
      <c r="D9" s="241"/>
      <c r="E9" s="242"/>
      <c r="F9" s="243"/>
      <c r="G9" s="241" t="s">
        <v>172</v>
      </c>
      <c r="H9" s="241"/>
      <c r="I9" s="241"/>
      <c r="J9" s="244"/>
      <c r="K9" s="244"/>
      <c r="L9" s="244"/>
      <c r="M9" s="241" t="s">
        <v>173</v>
      </c>
      <c r="N9" s="241"/>
      <c r="O9" s="241"/>
      <c r="P9" s="241"/>
      <c r="Q9" s="241"/>
      <c r="R9" s="245"/>
      <c r="S9" s="243"/>
      <c r="T9" s="138"/>
    </row>
    <row r="10" ht="25.8" customHeight="1" spans="1:20" x14ac:dyDescent="0.25">
      <c r="A10" s="246" t="s">
        <v>174</v>
      </c>
      <c r="B10" s="243"/>
      <c r="C10" s="243"/>
      <c r="D10" s="247"/>
      <c r="E10" s="247"/>
      <c r="F10" s="243"/>
      <c r="G10" s="248" t="s">
        <v>175</v>
      </c>
      <c r="H10" s="243"/>
      <c r="I10" s="243"/>
      <c r="J10" s="249"/>
      <c r="K10" s="244"/>
      <c r="L10" s="244"/>
      <c r="M10" s="248" t="s">
        <v>175</v>
      </c>
      <c r="N10" s="248"/>
      <c r="O10" s="248"/>
      <c r="P10" s="243"/>
      <c r="Q10" s="243"/>
      <c r="R10" s="244"/>
      <c r="S10" s="243"/>
      <c r="T10" s="138"/>
    </row>
    <row r="11" ht="25.8" customHeight="1" spans="1:20" x14ac:dyDescent="0.25">
      <c r="A11" s="246" t="s">
        <v>176</v>
      </c>
      <c r="B11" s="243"/>
      <c r="C11" s="243"/>
      <c r="D11" s="247"/>
      <c r="E11" s="247"/>
      <c r="F11" s="243"/>
      <c r="G11" s="248" t="s">
        <v>177</v>
      </c>
      <c r="H11" s="243"/>
      <c r="I11" s="243"/>
      <c r="J11" s="249"/>
      <c r="K11" s="244"/>
      <c r="L11" s="244"/>
      <c r="M11" s="248" t="s">
        <v>177</v>
      </c>
      <c r="N11" s="248"/>
      <c r="O11" s="248"/>
      <c r="P11" s="243"/>
      <c r="Q11" s="243"/>
      <c r="R11" s="244"/>
      <c r="S11" s="243"/>
      <c r="T11" s="138"/>
    </row>
    <row r="12" ht="25.2" customHeight="1" spans="1:20" x14ac:dyDescent="0.25">
      <c r="A12" s="246" t="s">
        <v>178</v>
      </c>
      <c r="B12" s="243"/>
      <c r="C12" s="243"/>
      <c r="D12" s="247"/>
      <c r="E12" s="247"/>
      <c r="F12" s="243"/>
      <c r="G12" s="248" t="s">
        <v>179</v>
      </c>
      <c r="H12" s="243"/>
      <c r="I12" s="244"/>
      <c r="J12" s="244"/>
      <c r="K12" s="243"/>
      <c r="L12" s="243"/>
      <c r="M12" s="248" t="s">
        <v>179</v>
      </c>
      <c r="N12" s="248"/>
      <c r="O12" s="248"/>
      <c r="P12" s="243"/>
      <c r="Q12" s="244"/>
      <c r="R12" s="243"/>
      <c r="S12" s="243"/>
      <c r="T12" s="138"/>
    </row>
    <row r="13" spans="1:20" x14ac:dyDescent="0.25">
      <c r="A13" s="237"/>
      <c r="B13" s="238"/>
      <c r="C13" s="238"/>
      <c r="D13" s="239"/>
      <c r="E13" s="239"/>
      <c r="F13" s="265"/>
      <c r="G13" s="238"/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8"/>
      <c r="S13" s="238"/>
      <c r="T13" s="138"/>
    </row>
  </sheetData>
  <autoFilter ref="A5:S7"/>
  <mergeCells count="8">
    <mergeCell ref="A1:S1"/>
    <mergeCell ref="A2:S2"/>
    <mergeCell ref="A3:S3"/>
    <mergeCell ref="A4:S4"/>
    <mergeCell ref="A7:E7"/>
    <mergeCell ref="A9:B9"/>
    <mergeCell ref="G9:H9"/>
    <mergeCell ref="M9:P9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"/>
  <sheetViews>
    <sheetView workbookViewId="0" zoomScale="60" zoomScaleNormal="49" view="pageBreakPreview">
      <selection activeCell="C8" sqref="C8"/>
    </sheetView>
  </sheetViews>
  <sheetFormatPr defaultRowHeight="14.4" outlineLevelRow="0" outlineLevelCol="0" x14ac:dyDescent="0.3" customHeight="1"/>
  <cols>
    <col min="1" max="1" width="6.5546875" customWidth="1"/>
    <col min="2" max="2" width="27.44140625" customWidth="1"/>
    <col min="3" max="3" width="14.6640625" customWidth="1"/>
    <col min="4" max="4" width="15.44140625" customWidth="1"/>
    <col min="5" max="5" width="15.88671875" customWidth="1"/>
    <col min="6" max="6" width="18.44140625" customWidth="1"/>
    <col min="7" max="7" width="18.5546875" customWidth="1"/>
    <col min="8" max="8" width="19.5546875" customWidth="1"/>
    <col min="9" max="9" width="17.44140625" customWidth="1"/>
    <col min="10" max="10" width="18.44140625" customWidth="1"/>
    <col min="11" max="11" width="19.109375" customWidth="1"/>
    <col min="12" max="12" width="17.109375" customWidth="1"/>
    <col min="13" max="13" width="17.33203125" customWidth="1"/>
    <col min="14" max="14" width="17.109375" customWidth="1"/>
    <col min="15" max="15" width="17.6640625" customWidth="1"/>
    <col min="16" max="16" width="21.33203125" customWidth="1"/>
    <col min="17" max="17" width="24.109375" customWidth="1"/>
    <col min="18" max="18" width="21.33203125" customWidth="1"/>
    <col min="19" max="19" width="21" customWidth="1"/>
    <col min="20" max="20" width="11.6640625" customWidth="1"/>
  </cols>
  <sheetData>
    <row r="1" ht="34.8" customHeight="1" spans="1:20" x14ac:dyDescent="0.25">
      <c r="A1" s="250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</row>
    <row r="2" ht="34.8" customHeight="1" spans="1:20" x14ac:dyDescent="0.25">
      <c r="A2" s="251" t="s">
        <v>281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</row>
    <row r="3" ht="34.8" customHeight="1" spans="1:20" x14ac:dyDescent="0.25">
      <c r="A3" s="205" t="s">
        <v>181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</row>
    <row r="4" ht="24.6" customHeight="1" spans="1:20" x14ac:dyDescent="0.25">
      <c r="A4" s="252"/>
      <c r="B4" s="252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</row>
    <row r="5" ht="73.8" customHeight="1" spans="1:20" x14ac:dyDescent="0.25">
      <c r="A5" s="208" t="s">
        <v>3</v>
      </c>
      <c r="B5" s="253" t="s">
        <v>4</v>
      </c>
      <c r="C5" s="253" t="s">
        <v>5</v>
      </c>
      <c r="D5" s="210" t="s">
        <v>277</v>
      </c>
      <c r="E5" s="254" t="s">
        <v>7</v>
      </c>
      <c r="F5" s="255" t="s">
        <v>8</v>
      </c>
      <c r="G5" s="255" t="s">
        <v>9</v>
      </c>
      <c r="H5" s="256" t="s">
        <v>10</v>
      </c>
      <c r="I5" s="257" t="s">
        <v>11</v>
      </c>
      <c r="J5" s="253" t="s">
        <v>12</v>
      </c>
      <c r="K5" s="253" t="s">
        <v>13</v>
      </c>
      <c r="L5" s="253" t="s">
        <v>14</v>
      </c>
      <c r="M5" s="258" t="s">
        <v>15</v>
      </c>
      <c r="N5" s="209" t="s">
        <v>16</v>
      </c>
      <c r="O5" s="253" t="s">
        <v>17</v>
      </c>
      <c r="P5" s="253" t="s">
        <v>18</v>
      </c>
      <c r="Q5" s="259" t="s">
        <v>19</v>
      </c>
      <c r="R5" s="253" t="s">
        <v>20</v>
      </c>
      <c r="S5" s="257" t="s">
        <v>21</v>
      </c>
    </row>
    <row r="6" ht="24" customHeight="1" spans="1:20" s="260" customFormat="1" x14ac:dyDescent="0.25">
      <c r="A6" s="19">
        <v>1</v>
      </c>
      <c r="B6" s="230" t="s">
        <v>282</v>
      </c>
      <c r="C6" s="225" t="s">
        <v>40</v>
      </c>
      <c r="D6" s="225" t="s">
        <v>203</v>
      </c>
      <c r="E6" s="225">
        <v>30</v>
      </c>
      <c r="F6" s="21">
        <v>7573.53</v>
      </c>
      <c r="G6" s="22">
        <f>+F6/30*E6</f>
        <v>7573.53</v>
      </c>
      <c r="H6" s="23"/>
      <c r="I6" s="24">
        <f>2683.83/30*E6</f>
        <v>2683.83</v>
      </c>
      <c r="J6" s="25">
        <f>G6+H6+I6</f>
        <v>10257.36</v>
      </c>
      <c r="K6" s="26">
        <f>G6+H6+I6</f>
        <v>10257.36</v>
      </c>
      <c r="L6" s="22">
        <f>IF(K6&lt;=2000,(0),IF(K6&lt;=4000,(K6*0.15)-300,IF(K6&lt;=7000,(K6*0.2)-500,IF(K6&lt;=10000,(K6*0.25)-850,IF(K6&lt;=14000,(K6*0.3)-1350,IF(K6&gt;14000,(K6*0.35)-2050))))))</f>
        <v>1727.208</v>
      </c>
      <c r="M6" s="26">
        <f>F6*0.07</f>
        <v>530.1471</v>
      </c>
      <c r="N6" s="26">
        <f>F6*0.11</f>
        <v>833.0883</v>
      </c>
      <c r="O6" s="25"/>
      <c r="P6" s="22">
        <f>L6+M6+O6</f>
        <v>2257.3551</v>
      </c>
      <c r="Q6" s="24">
        <f>1000/30*E6</f>
        <v>1000.0000000000001</v>
      </c>
      <c r="R6" s="22">
        <f>J6-P6+Q6</f>
        <v>9000.0049</v>
      </c>
      <c r="S6" s="232"/>
      <c r="T6" s="261"/>
    </row>
    <row r="7" ht="25.2" customHeight="1" spans="1:20" x14ac:dyDescent="0.25">
      <c r="A7" s="225">
        <v>2</v>
      </c>
      <c r="B7" s="230" t="s">
        <v>283</v>
      </c>
      <c r="C7" s="225" t="s">
        <v>28</v>
      </c>
      <c r="D7" s="225" t="s">
        <v>203</v>
      </c>
      <c r="E7" s="225">
        <v>30</v>
      </c>
      <c r="F7" s="231">
        <v>17155.18</v>
      </c>
      <c r="G7" s="220">
        <f>+F7/30*E7</f>
        <v>17155.18</v>
      </c>
      <c r="H7" s="262"/>
      <c r="I7" s="24">
        <v>3076.92</v>
      </c>
      <c r="J7" s="227">
        <f>G7+H7+I7</f>
        <v>20232.1</v>
      </c>
      <c r="K7" s="234">
        <f>G7+H7+I7</f>
        <v>20232.1</v>
      </c>
      <c r="L7" s="232">
        <f>IF(K7&lt;=2000,(0),IF(K7&lt;=4000,(K7*0.15)-300,IF(K7&lt;=7000,(K7*0.2)-500,IF(K7&lt;=10000,(K7*0.25)-850,IF(K7&lt;=14000,(K7*0.3)-1350,IF(K7&gt;14000,(K7*0.35)-2050))))))</f>
        <v>5031.234999999999</v>
      </c>
      <c r="M7" s="234">
        <f>F7*0.07</f>
        <v>1200.8626000000002</v>
      </c>
      <c r="N7" s="234">
        <f>F7*0.11</f>
        <v>1887.0698</v>
      </c>
      <c r="O7" s="227"/>
      <c r="P7" s="232">
        <f>L7+M7+O7</f>
        <v>6232.097599999999</v>
      </c>
      <c r="Q7" s="233"/>
      <c r="R7" s="232">
        <f>J7-P7+Q7</f>
        <v>14000.0024</v>
      </c>
      <c r="S7" s="232"/>
      <c r="T7" s="137"/>
    </row>
    <row r="8" ht="25.2" customHeight="1" spans="1:20" x14ac:dyDescent="0.25">
      <c r="A8" s="225">
        <v>3</v>
      </c>
      <c r="B8" s="230" t="s">
        <v>284</v>
      </c>
      <c r="C8" s="225" t="s">
        <v>23</v>
      </c>
      <c r="D8" s="225" t="s">
        <v>203</v>
      </c>
      <c r="E8" s="225">
        <v>30</v>
      </c>
      <c r="F8" s="21">
        <v>1612.9</v>
      </c>
      <c r="G8" s="220">
        <f>+F8/30*E8</f>
        <v>1612.9</v>
      </c>
      <c r="H8" s="262"/>
      <c r="I8" s="24"/>
      <c r="J8" s="227">
        <f>G8+H8+I8</f>
        <v>1612.9</v>
      </c>
      <c r="K8" s="234">
        <f>G8+H8+I8</f>
        <v>1612.9</v>
      </c>
      <c r="L8" s="232">
        <f>IF(K8&lt;=2000,(0),IF(K8&lt;=4000,(K8*0.15)-300,IF(K8&lt;=7000,(K8*0.2)-500,IF(K8&lt;=10000,(K8*0.25)-850,IF(K8&lt;=14000,(K8*0.3)-1350,IF(K8&gt;14000,(K8*0.35)-2050))))))</f>
        <v>0</v>
      </c>
      <c r="M8" s="234"/>
      <c r="N8" s="234"/>
      <c r="O8" s="227"/>
      <c r="P8" s="232">
        <f>L8+M8+O8</f>
        <v>0</v>
      </c>
      <c r="Q8" s="233"/>
      <c r="R8" s="232">
        <f>J8-P8+Q8</f>
        <v>1612.9</v>
      </c>
      <c r="S8" s="232"/>
      <c r="T8" s="137"/>
    </row>
    <row r="9" ht="27.6" customHeight="1" spans="1:38" x14ac:dyDescent="0.25">
      <c r="A9" s="235" t="s">
        <v>170</v>
      </c>
      <c r="B9" s="235"/>
      <c r="C9" s="235"/>
      <c r="D9" s="235"/>
      <c r="E9" s="235"/>
      <c r="F9" s="236">
        <f>SUM(F6:F8)</f>
        <v>26341.61</v>
      </c>
      <c r="G9" s="236">
        <f t="shared" ref="G9:Q9" si="0">SUM(G6:G8)</f>
        <v>26341.61</v>
      </c>
      <c r="H9" s="236">
        <f t="shared" si="0"/>
        <v>0</v>
      </c>
      <c r="I9" s="236">
        <f t="shared" si="0"/>
        <v>5760.75</v>
      </c>
      <c r="J9" s="236">
        <f t="shared" si="0"/>
        <v>32102.36</v>
      </c>
      <c r="K9" s="236">
        <f t="shared" si="0"/>
        <v>32102.36</v>
      </c>
      <c r="L9" s="236">
        <f t="shared" si="0"/>
        <v>6758.442999999999</v>
      </c>
      <c r="M9" s="236">
        <f t="shared" si="0"/>
        <v>1731.0097</v>
      </c>
      <c r="N9" s="236">
        <f t="shared" si="0"/>
        <v>2720.1581</v>
      </c>
      <c r="O9" s="236">
        <f t="shared" si="0"/>
        <v>0</v>
      </c>
      <c r="P9" s="236">
        <f t="shared" si="0"/>
        <v>8489.4527</v>
      </c>
      <c r="Q9" s="236">
        <f t="shared" si="0"/>
        <v>1000.0000000000001</v>
      </c>
      <c r="R9" s="236">
        <f>SUM(R6:R8)</f>
        <v>24612.9073</v>
      </c>
      <c r="S9" s="232"/>
      <c r="T9" s="237"/>
      <c r="U9" s="238"/>
      <c r="V9" s="238"/>
      <c r="W9" s="239"/>
      <c r="X9" s="239"/>
      <c r="Y9" s="238"/>
      <c r="Z9" s="238"/>
      <c r="AA9" s="238"/>
      <c r="AB9" s="238"/>
      <c r="AC9" s="240"/>
      <c r="AD9" s="238"/>
      <c r="AE9" s="238"/>
      <c r="AF9" s="238"/>
      <c r="AG9" s="238"/>
      <c r="AH9" s="238"/>
      <c r="AI9" s="238"/>
      <c r="AJ9" s="238"/>
      <c r="AK9" s="238"/>
      <c r="AL9" s="238"/>
    </row>
    <row r="10" ht="27.6" customHeight="1" spans="1:38" x14ac:dyDescent="0.25">
      <c r="A10" s="263"/>
      <c r="B10" s="263"/>
      <c r="C10" s="263"/>
      <c r="D10" s="263"/>
      <c r="E10" s="263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44"/>
      <c r="T10" s="237"/>
      <c r="U10" s="238"/>
      <c r="V10" s="238"/>
      <c r="W10" s="239"/>
      <c r="X10" s="239"/>
      <c r="Y10" s="238"/>
      <c r="Z10" s="238"/>
      <c r="AA10" s="238"/>
      <c r="AB10" s="238"/>
      <c r="AC10" s="240"/>
      <c r="AD10" s="238"/>
      <c r="AE10" s="238"/>
      <c r="AF10" s="238"/>
      <c r="AG10" s="238"/>
      <c r="AH10" s="238"/>
      <c r="AI10" s="238"/>
      <c r="AJ10" s="238"/>
      <c r="AK10" s="238"/>
      <c r="AL10" s="238"/>
    </row>
    <row r="11" ht="25.2" customHeight="1" spans="1:20" x14ac:dyDescent="0.25">
      <c r="A11" s="241" t="s">
        <v>171</v>
      </c>
      <c r="B11" s="241"/>
      <c r="C11" s="241"/>
      <c r="D11" s="241"/>
      <c r="E11" s="242"/>
      <c r="F11" s="243"/>
      <c r="G11" s="241" t="s">
        <v>172</v>
      </c>
      <c r="H11" s="241"/>
      <c r="I11" s="241"/>
      <c r="J11" s="244"/>
      <c r="K11" s="244"/>
      <c r="L11" s="244"/>
      <c r="M11" s="241" t="s">
        <v>173</v>
      </c>
      <c r="N11" s="241"/>
      <c r="O11" s="241"/>
      <c r="P11" s="241"/>
      <c r="Q11" s="241"/>
      <c r="R11" s="245"/>
      <c r="S11" s="243"/>
    </row>
    <row r="12" ht="25.8" customHeight="1" spans="1:20" x14ac:dyDescent="0.25">
      <c r="A12" s="246" t="s">
        <v>174</v>
      </c>
      <c r="B12" s="243"/>
      <c r="C12" s="243"/>
      <c r="D12" s="247"/>
      <c r="E12" s="247"/>
      <c r="F12" s="243"/>
      <c r="G12" s="248" t="s">
        <v>175</v>
      </c>
      <c r="H12" s="243"/>
      <c r="I12" s="243"/>
      <c r="J12" s="249"/>
      <c r="K12" s="244"/>
      <c r="L12" s="244"/>
      <c r="M12" s="248" t="s">
        <v>175</v>
      </c>
      <c r="N12" s="248"/>
      <c r="O12" s="248"/>
      <c r="P12" s="243"/>
      <c r="Q12" s="243"/>
      <c r="R12" s="244"/>
      <c r="S12" s="243"/>
    </row>
    <row r="13" ht="25.8" customHeight="1" spans="1:20" x14ac:dyDescent="0.25">
      <c r="A13" s="246" t="s">
        <v>176</v>
      </c>
      <c r="B13" s="243"/>
      <c r="C13" s="243"/>
      <c r="D13" s="247"/>
      <c r="E13" s="247"/>
      <c r="F13" s="243"/>
      <c r="G13" s="248" t="s">
        <v>177</v>
      </c>
      <c r="H13" s="243"/>
      <c r="I13" s="243"/>
      <c r="J13" s="249"/>
      <c r="K13" s="244"/>
      <c r="L13" s="244"/>
      <c r="M13" s="248" t="s">
        <v>177</v>
      </c>
      <c r="N13" s="248"/>
      <c r="O13" s="248"/>
      <c r="P13" s="243"/>
      <c r="Q13" s="243"/>
      <c r="R13" s="244"/>
      <c r="S13" s="243"/>
    </row>
    <row r="14" ht="25.2" customHeight="1" spans="1:20" x14ac:dyDescent="0.25">
      <c r="A14" s="246" t="s">
        <v>178</v>
      </c>
      <c r="B14" s="243"/>
      <c r="C14" s="243"/>
      <c r="D14" s="247"/>
      <c r="E14" s="247"/>
      <c r="F14" s="243"/>
      <c r="G14" s="248" t="s">
        <v>179</v>
      </c>
      <c r="H14" s="243"/>
      <c r="I14" s="244"/>
      <c r="J14" s="244"/>
      <c r="K14" s="243"/>
      <c r="L14" s="243"/>
      <c r="M14" s="248" t="s">
        <v>179</v>
      </c>
      <c r="N14" s="248"/>
      <c r="O14" s="248"/>
      <c r="P14" s="243"/>
      <c r="Q14" s="244"/>
      <c r="R14" s="243"/>
      <c r="S14" s="243"/>
    </row>
    <row r="15" spans="1:20" x14ac:dyDescent="0.25">
      <c r="A15" s="237"/>
      <c r="B15" s="238"/>
      <c r="C15" s="238"/>
      <c r="D15" s="239"/>
      <c r="E15" s="239"/>
      <c r="F15" s="265"/>
      <c r="G15" s="238"/>
      <c r="H15" s="238"/>
      <c r="I15" s="238"/>
      <c r="J15" s="238"/>
      <c r="K15" s="238"/>
      <c r="L15" s="238"/>
      <c r="M15" s="238"/>
      <c r="N15" s="238"/>
      <c r="O15" s="238"/>
      <c r="P15" s="238"/>
      <c r="Q15" s="238"/>
      <c r="R15" s="238"/>
      <c r="S15" s="238"/>
    </row>
  </sheetData>
  <autoFilter ref="A5:S9"/>
  <mergeCells count="8">
    <mergeCell ref="A1:S1"/>
    <mergeCell ref="A2:S2"/>
    <mergeCell ref="A3:S3"/>
    <mergeCell ref="A4:S4"/>
    <mergeCell ref="A9:E9"/>
    <mergeCell ref="A11:B11"/>
    <mergeCell ref="G11:H11"/>
    <mergeCell ref="M11:P11"/>
  </mergeCells>
  <pageMargins left="0.7" right="0.7" top="0.75" bottom="0.75" header="0.3" footer="0.3"/>
  <pageSetup orientation="portrait" horizontalDpi="4294967295" verticalDpi="4294967295" scale="22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0"/>
  <sheetViews>
    <sheetView workbookViewId="0" zoomScale="45" zoomScaleNormal="70">
      <selection activeCell="D35" sqref="D35"/>
    </sheetView>
  </sheetViews>
  <sheetFormatPr defaultRowHeight="14.4" outlineLevelRow="0" outlineLevelCol="0" x14ac:dyDescent="0.3" customHeight="1"/>
  <cols>
    <col min="1" max="1" width="7.44140625" customWidth="1"/>
    <col min="2" max="2" width="30.44140625" customWidth="1"/>
    <col min="3" max="3" width="23.88671875" customWidth="1"/>
    <col min="4" max="4" width="25.109375" customWidth="1"/>
    <col min="5" max="5" width="15.88671875" customWidth="1"/>
    <col min="6" max="6" width="19.33203125" customWidth="1"/>
    <col min="7" max="7" width="19.6640625" customWidth="1"/>
    <col min="8" max="8" width="21.44140625" customWidth="1"/>
    <col min="9" max="9" width="19.6640625" customWidth="1"/>
    <col min="10" max="10" width="23.88671875" customWidth="1"/>
    <col min="11" max="11" width="19.6640625" customWidth="1"/>
    <col min="12" max="12" width="17.6640625" customWidth="1"/>
    <col min="13" max="13" width="19.88671875" customWidth="1"/>
    <col min="14" max="14" width="19.44140625" customWidth="1"/>
    <col min="15" max="15" width="18.33203125" customWidth="1"/>
    <col min="16" max="16" width="17.6640625" customWidth="1"/>
    <col min="17" max="17" width="21" customWidth="1"/>
    <col min="18" max="18" width="19.5546875" customWidth="1"/>
    <col min="19" max="19" width="20.109375" customWidth="1"/>
    <col min="20" max="20" width="18.33203125" customWidth="1"/>
  </cols>
  <sheetData>
    <row r="1" ht="33.6" customHeight="1" spans="1:20" x14ac:dyDescent="0.25">
      <c r="A1" s="250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</row>
    <row r="2" ht="34.8" customHeight="1" spans="1:20" x14ac:dyDescent="0.25">
      <c r="A2" s="251" t="s">
        <v>285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</row>
    <row r="3" ht="34.8" customHeight="1" spans="1:20" x14ac:dyDescent="0.25">
      <c r="A3" s="205" t="s">
        <v>181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</row>
    <row r="4" ht="24.6" customHeight="1" spans="1:20" x14ac:dyDescent="0.25">
      <c r="A4" s="252"/>
      <c r="B4" s="252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</row>
    <row r="5" ht="73.8" customHeight="1" spans="1:20" s="207" customFormat="1" x14ac:dyDescent="0.25">
      <c r="A5" s="208" t="s">
        <v>3</v>
      </c>
      <c r="B5" s="210" t="s">
        <v>4</v>
      </c>
      <c r="C5" s="210" t="s">
        <v>5</v>
      </c>
      <c r="D5" s="210" t="s">
        <v>277</v>
      </c>
      <c r="E5" s="210" t="s">
        <v>7</v>
      </c>
      <c r="F5" s="211" t="s">
        <v>8</v>
      </c>
      <c r="G5" s="211" t="s">
        <v>9</v>
      </c>
      <c r="H5" s="213" t="s">
        <v>10</v>
      </c>
      <c r="I5" s="208" t="s">
        <v>11</v>
      </c>
      <c r="J5" s="209" t="s">
        <v>12</v>
      </c>
      <c r="K5" s="209" t="s">
        <v>13</v>
      </c>
      <c r="L5" s="209" t="s">
        <v>14</v>
      </c>
      <c r="M5" s="258" t="s">
        <v>15</v>
      </c>
      <c r="N5" s="209" t="s">
        <v>16</v>
      </c>
      <c r="O5" s="209" t="s">
        <v>17</v>
      </c>
      <c r="P5" s="209" t="s">
        <v>18</v>
      </c>
      <c r="Q5" s="214" t="s">
        <v>19</v>
      </c>
      <c r="R5" s="209" t="s">
        <v>20</v>
      </c>
      <c r="S5" s="208" t="s">
        <v>21</v>
      </c>
      <c r="T5" s="207"/>
    </row>
    <row r="6" ht="25.2" customHeight="1" spans="1:20" s="207" customFormat="1" x14ac:dyDescent="0.25">
      <c r="A6" s="266">
        <v>1</v>
      </c>
      <c r="B6" s="230" t="s">
        <v>286</v>
      </c>
      <c r="C6" s="225" t="s">
        <v>287</v>
      </c>
      <c r="D6" s="225" t="s">
        <v>210</v>
      </c>
      <c r="E6" s="225">
        <v>50</v>
      </c>
      <c r="F6" s="21">
        <v>4794.52</v>
      </c>
      <c r="G6" s="22">
        <f t="shared" ref="G6" si="0">+F6/30*E6</f>
        <v>7990.866666666668</v>
      </c>
      <c r="H6" s="23"/>
      <c r="I6" s="24">
        <f>2654.34*0</f>
        <v>0</v>
      </c>
      <c r="J6" s="25">
        <f t="shared" ref="J6" si="1">G6+H6+I6</f>
        <v>7990.866666666668</v>
      </c>
      <c r="K6" s="26">
        <f t="shared" ref="K6" si="2">G6+H6+I6</f>
        <v>7990.866666666668</v>
      </c>
      <c r="L6" s="22">
        <f t="shared" ref="L6" si="3">IF(K6&lt;=2000,(0),IF(K6&lt;=4000,(K6*0.15)-300,IF(K6&lt;=7000,(K6*0.2)-500,IF(K6&lt;=10000,(K6*0.25)-850,IF(K6&lt;=14000,(K6*0.3)-1350,IF(K6&gt;14000,(K6*0.35)-2050))))))</f>
        <v>1147.716666666667</v>
      </c>
      <c r="M6" s="234">
        <f>F6*0.07</f>
        <v>335.61640000000006</v>
      </c>
      <c r="N6" s="234">
        <f t="shared" ref="N6" si="4">F6*0.11</f>
        <v>527.3972</v>
      </c>
      <c r="O6" s="25"/>
      <c r="P6" s="22">
        <f t="shared" ref="P6" si="5">L6+M6+O6</f>
        <v>1483.333066666667</v>
      </c>
      <c r="Q6" s="25">
        <f>1000/30*E6</f>
        <v>1666.6666666666667</v>
      </c>
      <c r="R6" s="22">
        <f t="shared" ref="R6" si="6">J6-P6+Q6</f>
        <v>8174.200266666668</v>
      </c>
      <c r="S6" s="208"/>
      <c r="T6" s="207"/>
    </row>
    <row r="7" ht="25.2" customHeight="1" spans="1:20" x14ac:dyDescent="0.25">
      <c r="A7" s="225">
        <v>2</v>
      </c>
      <c r="B7" s="230" t="s">
        <v>288</v>
      </c>
      <c r="C7" s="225" t="s">
        <v>28</v>
      </c>
      <c r="D7" s="225" t="s">
        <v>210</v>
      </c>
      <c r="E7" s="225">
        <v>30</v>
      </c>
      <c r="F7" s="231">
        <v>21724.14</v>
      </c>
      <c r="G7" s="220">
        <f t="shared" ref="G7:G13" si="7">+F7/30*E7</f>
        <v>21724.14</v>
      </c>
      <c r="H7" s="232"/>
      <c r="I7" s="233">
        <f>1846.15*0</f>
        <v>0</v>
      </c>
      <c r="J7" s="227">
        <f t="shared" ref="J7:J13" si="8">G7+H7+I7</f>
        <v>21724.14</v>
      </c>
      <c r="K7" s="234">
        <f t="shared" ref="K7:K13" si="9">G7+H7+I7</f>
        <v>21724.14</v>
      </c>
      <c r="L7" s="232">
        <f t="shared" ref="L7:L13" si="10">IF(K7&lt;=2000,(0),IF(K7&lt;=4000,(K7*0.15)-300,IF(K7&lt;=7000,(K7*0.2)-500,IF(K7&lt;=10000,(K7*0.25)-850,IF(K7&lt;=14000,(K7*0.3)-1350,IF(K7&gt;14000,(K7*0.35)-2050))))))</f>
        <v>5553.449</v>
      </c>
      <c r="M7" s="234">
        <f>F7*0.07</f>
        <v>1520.6898</v>
      </c>
      <c r="N7" s="234">
        <f t="shared" ref="N7:N13" si="11">F7*0.11</f>
        <v>2389.6554</v>
      </c>
      <c r="O7" s="227"/>
      <c r="P7" s="232">
        <f t="shared" ref="P7:P13" si="12">L7+M7+O7</f>
        <v>7074.1388</v>
      </c>
      <c r="Q7" s="233">
        <v>2000</v>
      </c>
      <c r="R7" s="232">
        <f t="shared" ref="R7:R13" si="13">J7-P7+Q7</f>
        <v>16650.0012</v>
      </c>
      <c r="S7" s="232"/>
      <c r="T7" s="137"/>
    </row>
    <row r="8" ht="25.2" customHeight="1" spans="1:20" x14ac:dyDescent="0.25">
      <c r="A8" s="225">
        <v>3</v>
      </c>
      <c r="B8" s="230" t="s">
        <v>289</v>
      </c>
      <c r="C8" s="225" t="s">
        <v>64</v>
      </c>
      <c r="D8" s="225" t="s">
        <v>210</v>
      </c>
      <c r="E8" s="225">
        <v>30</v>
      </c>
      <c r="F8" s="231">
        <v>4794.52</v>
      </c>
      <c r="G8" s="220">
        <f t="shared" si="7"/>
        <v>4794.52</v>
      </c>
      <c r="H8" s="232"/>
      <c r="I8" s="233"/>
      <c r="J8" s="227">
        <f t="shared" si="8"/>
        <v>4794.52</v>
      </c>
      <c r="K8" s="234">
        <f t="shared" si="9"/>
        <v>4794.52</v>
      </c>
      <c r="L8" s="232">
        <f t="shared" si="10"/>
        <v>458.9040000000001</v>
      </c>
      <c r="M8" s="234">
        <f t="shared" ref="M8:M13" si="14">F8*0.07</f>
        <v>335.61640000000006</v>
      </c>
      <c r="N8" s="234">
        <f t="shared" si="11"/>
        <v>527.3972</v>
      </c>
      <c r="O8" s="227"/>
      <c r="P8" s="232">
        <f t="shared" si="12"/>
        <v>794.5204000000001</v>
      </c>
      <c r="Q8" s="233"/>
      <c r="R8" s="232">
        <f t="shared" si="13"/>
        <v>3999.9996</v>
      </c>
      <c r="S8" s="232"/>
      <c r="T8" s="137"/>
    </row>
    <row r="9" ht="25.2" customHeight="1" spans="1:20" x14ac:dyDescent="0.25">
      <c r="A9" s="225">
        <v>4</v>
      </c>
      <c r="B9" s="230" t="s">
        <v>290</v>
      </c>
      <c r="C9" s="225" t="s">
        <v>40</v>
      </c>
      <c r="D9" s="225" t="s">
        <v>207</v>
      </c>
      <c r="E9" s="225">
        <v>30</v>
      </c>
      <c r="F9" s="231">
        <v>8007.94</v>
      </c>
      <c r="G9" s="220">
        <f t="shared" si="7"/>
        <v>8007.94</v>
      </c>
      <c r="H9" s="232"/>
      <c r="I9" s="233">
        <f>2857.14</f>
        <v>2857.14</v>
      </c>
      <c r="J9" s="227">
        <f t="shared" si="8"/>
        <v>10865.08</v>
      </c>
      <c r="K9" s="234">
        <f t="shared" si="9"/>
        <v>10865.08</v>
      </c>
      <c r="L9" s="232">
        <f t="shared" si="10"/>
        <v>1909.524</v>
      </c>
      <c r="M9" s="234">
        <f t="shared" si="14"/>
        <v>560.5558</v>
      </c>
      <c r="N9" s="234">
        <f t="shared" si="11"/>
        <v>880.8734</v>
      </c>
      <c r="O9" s="227"/>
      <c r="P9" s="232">
        <f t="shared" si="12"/>
        <v>2470.0798</v>
      </c>
      <c r="Q9" s="233">
        <v>1000</v>
      </c>
      <c r="R9" s="232">
        <f t="shared" si="13"/>
        <v>9395.0002</v>
      </c>
      <c r="S9" s="232"/>
      <c r="T9" s="137"/>
    </row>
    <row r="10" ht="25.2" customHeight="1" spans="1:20" x14ac:dyDescent="0.25">
      <c r="A10" s="225">
        <v>5</v>
      </c>
      <c r="B10" s="230" t="s">
        <v>291</v>
      </c>
      <c r="C10" s="225" t="s">
        <v>59</v>
      </c>
      <c r="D10" s="225" t="s">
        <v>210</v>
      </c>
      <c r="E10" s="225">
        <v>30</v>
      </c>
      <c r="F10" s="231">
        <v>9729.07</v>
      </c>
      <c r="G10" s="220">
        <f t="shared" si="7"/>
        <v>9729.07</v>
      </c>
      <c r="H10" s="232"/>
      <c r="I10" s="233">
        <f>2857.14</f>
        <v>2857.14</v>
      </c>
      <c r="J10" s="227">
        <f t="shared" si="8"/>
        <v>12586.21</v>
      </c>
      <c r="K10" s="234">
        <f t="shared" si="9"/>
        <v>12586.21</v>
      </c>
      <c r="L10" s="232">
        <f t="shared" si="10"/>
        <v>2425.8629999999994</v>
      </c>
      <c r="M10" s="234">
        <f t="shared" si="14"/>
        <v>681.0349</v>
      </c>
      <c r="N10" s="234">
        <f t="shared" si="11"/>
        <v>1070.1977</v>
      </c>
      <c r="O10" s="227"/>
      <c r="P10" s="232">
        <f t="shared" si="12"/>
        <v>3106.8978999999995</v>
      </c>
      <c r="Q10" s="233">
        <v>1000</v>
      </c>
      <c r="R10" s="232">
        <f t="shared" si="13"/>
        <v>10479.3121</v>
      </c>
      <c r="S10" s="232"/>
      <c r="T10" s="137"/>
    </row>
    <row r="11" ht="25.2" customHeight="1" spans="1:20" x14ac:dyDescent="0.25">
      <c r="A11" s="225">
        <v>6</v>
      </c>
      <c r="B11" s="230" t="s">
        <v>292</v>
      </c>
      <c r="C11" s="225" t="s">
        <v>40</v>
      </c>
      <c r="D11" s="225" t="s">
        <v>207</v>
      </c>
      <c r="E11" s="225">
        <v>10</v>
      </c>
      <c r="F11" s="231">
        <v>8007.94</v>
      </c>
      <c r="G11" s="220">
        <f t="shared" si="7"/>
        <v>2669.3133333333335</v>
      </c>
      <c r="H11" s="232"/>
      <c r="I11" s="233">
        <f>2857.14</f>
        <v>2857.14</v>
      </c>
      <c r="J11" s="227">
        <f t="shared" si="8"/>
        <v>5526.453333333333</v>
      </c>
      <c r="K11" s="234">
        <f t="shared" si="9"/>
        <v>5526.453333333333</v>
      </c>
      <c r="L11" s="232">
        <f t="shared" si="10"/>
        <v>605.2906666666665</v>
      </c>
      <c r="M11" s="234">
        <f t="shared" si="14"/>
        <v>560.5558</v>
      </c>
      <c r="N11" s="234">
        <f t="shared" si="11"/>
        <v>880.8734</v>
      </c>
      <c r="O11" s="227"/>
      <c r="P11" s="232">
        <f t="shared" si="12"/>
        <v>1165.8464666666664</v>
      </c>
      <c r="Q11" s="233">
        <v>1000</v>
      </c>
      <c r="R11" s="232">
        <f t="shared" si="13"/>
        <v>5360.606866666667</v>
      </c>
      <c r="S11" s="232"/>
      <c r="T11" s="137"/>
    </row>
    <row r="12" ht="34.95" customHeight="1" spans="1:20" s="138" customFormat="1" x14ac:dyDescent="0.25">
      <c r="A12" s="225">
        <v>7</v>
      </c>
      <c r="B12" s="230" t="s">
        <v>293</v>
      </c>
      <c r="C12" s="225" t="s">
        <v>132</v>
      </c>
      <c r="D12" s="225" t="s">
        <v>210</v>
      </c>
      <c r="E12" s="225">
        <v>30</v>
      </c>
      <c r="F12" s="231">
        <v>11206.9</v>
      </c>
      <c r="G12" s="220">
        <f>+F12/30*E12</f>
        <v>11206.9</v>
      </c>
      <c r="H12" s="262"/>
      <c r="I12" s="233">
        <f>3076.92*0.5</f>
        <v>1538.46</v>
      </c>
      <c r="J12" s="227">
        <f t="shared" si="8"/>
        <v>12745.36</v>
      </c>
      <c r="K12" s="234">
        <f>G12+H12+I12</f>
        <v>12745.36</v>
      </c>
      <c r="L12" s="232">
        <f>IF(K12&lt;=2000,(0),IF(K12&lt;=4000,(K12*0.15)-300,IF(K12&lt;=7000,(K12*0.2)-500,IF(K12&lt;=10000,(K12*0.25)-850,IF(K12&lt;=14000,(K12*0.3)-1350,IF(K12&gt;14000,(K12*0.35)-2050))))))</f>
        <v>2473.608</v>
      </c>
      <c r="M12" s="234">
        <f>F12*0.07</f>
        <v>784.4830000000001</v>
      </c>
      <c r="N12" s="234">
        <f t="shared" si="11"/>
        <v>1232.759</v>
      </c>
      <c r="O12" s="227"/>
      <c r="P12" s="232">
        <f>L12+M12+O12</f>
        <v>3258.0910000000003</v>
      </c>
      <c r="Q12" s="233">
        <f>1000+370</f>
        <v>1370</v>
      </c>
      <c r="R12" s="232">
        <f>J12-P12+Q12</f>
        <v>10857.269</v>
      </c>
      <c r="S12" s="232"/>
      <c r="T12" s="137"/>
    </row>
    <row r="13" ht="25.2" customHeight="1" spans="1:20" x14ac:dyDescent="0.25">
      <c r="A13" s="225">
        <v>8</v>
      </c>
      <c r="B13" s="230" t="s">
        <v>294</v>
      </c>
      <c r="C13" s="225" t="s">
        <v>23</v>
      </c>
      <c r="D13" s="225" t="s">
        <v>210</v>
      </c>
      <c r="E13" s="225">
        <v>30</v>
      </c>
      <c r="F13" s="231">
        <v>2179.49</v>
      </c>
      <c r="G13" s="220">
        <f t="shared" si="7"/>
        <v>2179.49</v>
      </c>
      <c r="H13" s="232"/>
      <c r="I13" s="233"/>
      <c r="J13" s="227">
        <f t="shared" si="8"/>
        <v>2179.49</v>
      </c>
      <c r="K13" s="234">
        <f t="shared" si="9"/>
        <v>2179.49</v>
      </c>
      <c r="L13" s="232">
        <f t="shared" si="10"/>
        <v>26.923499999999933</v>
      </c>
      <c r="M13" s="234">
        <f t="shared" si="14"/>
        <v>152.5643</v>
      </c>
      <c r="N13" s="234">
        <f t="shared" si="11"/>
        <v>239.74389999999997</v>
      </c>
      <c r="O13" s="227"/>
      <c r="P13" s="232">
        <f t="shared" si="12"/>
        <v>179.48779999999994</v>
      </c>
      <c r="Q13" s="233">
        <v>500</v>
      </c>
      <c r="R13" s="232">
        <f t="shared" si="13"/>
        <v>2500.0022</v>
      </c>
      <c r="S13" s="232"/>
      <c r="T13" s="137"/>
    </row>
    <row r="14" ht="27.6" customHeight="1" spans="1:38" x14ac:dyDescent="0.25">
      <c r="A14" s="235" t="s">
        <v>170</v>
      </c>
      <c r="B14" s="235"/>
      <c r="C14" s="235"/>
      <c r="D14" s="235"/>
      <c r="E14" s="235"/>
      <c r="F14" s="236">
        <f>SUM(F6:F13)</f>
        <v>70444.52</v>
      </c>
      <c r="G14" s="236">
        <f t="shared" ref="G14:R14" si="15">SUM(G6:G13)</f>
        <v>68302.24</v>
      </c>
      <c r="H14" s="236">
        <f t="shared" si="15"/>
        <v>0</v>
      </c>
      <c r="I14" s="236">
        <f t="shared" si="15"/>
        <v>10109.880000000001</v>
      </c>
      <c r="J14" s="236">
        <f t="shared" si="15"/>
        <v>78412.12000000001</v>
      </c>
      <c r="K14" s="236">
        <f t="shared" si="15"/>
        <v>78412.12000000001</v>
      </c>
      <c r="L14" s="236">
        <f t="shared" si="15"/>
        <v>14601.278833333334</v>
      </c>
      <c r="M14" s="236">
        <f t="shared" si="15"/>
        <v>4931.116400000001</v>
      </c>
      <c r="N14" s="236">
        <f t="shared" si="15"/>
        <v>7748.8972</v>
      </c>
      <c r="O14" s="236">
        <f t="shared" si="15"/>
        <v>0</v>
      </c>
      <c r="P14" s="236">
        <f t="shared" si="15"/>
        <v>19532.395233333333</v>
      </c>
      <c r="Q14" s="236">
        <f t="shared" si="15"/>
        <v>8536.666666666668</v>
      </c>
      <c r="R14" s="236">
        <f t="shared" si="15"/>
        <v>67416.39143333334</v>
      </c>
      <c r="S14" s="232"/>
      <c r="T14" s="267"/>
      <c r="U14" s="268"/>
      <c r="V14" s="267"/>
      <c r="W14" s="267"/>
      <c r="X14" s="267"/>
      <c r="Y14" s="269"/>
      <c r="Z14" s="270"/>
      <c r="AA14" s="244"/>
      <c r="AB14" s="271"/>
      <c r="AC14" s="272"/>
      <c r="AD14" s="273"/>
      <c r="AE14" s="244"/>
      <c r="AF14" s="273"/>
      <c r="AG14" s="273"/>
      <c r="AH14" s="272"/>
      <c r="AI14" s="244"/>
      <c r="AJ14" s="271"/>
      <c r="AK14" s="244"/>
      <c r="AL14" s="244"/>
    </row>
    <row r="15" ht="27.6" customHeight="1" spans="1:38" x14ac:dyDescent="0.25">
      <c r="A15" s="263"/>
      <c r="B15" s="263"/>
      <c r="C15" s="263"/>
      <c r="D15" s="263"/>
      <c r="E15" s="263"/>
      <c r="F15" s="264"/>
      <c r="G15" s="264"/>
      <c r="H15" s="264"/>
      <c r="I15" s="264"/>
      <c r="J15" s="264"/>
      <c r="K15" s="264"/>
      <c r="L15" s="264"/>
      <c r="M15" s="264"/>
      <c r="N15" s="264"/>
      <c r="O15" s="264"/>
      <c r="P15" s="264"/>
      <c r="Q15" s="264"/>
      <c r="R15" s="264"/>
      <c r="S15" s="244"/>
      <c r="T15" s="267"/>
      <c r="U15" s="268"/>
      <c r="V15" s="267"/>
      <c r="W15" s="267"/>
      <c r="X15" s="267"/>
      <c r="Y15" s="269"/>
      <c r="Z15" s="270"/>
      <c r="AA15" s="244"/>
      <c r="AB15" s="271"/>
      <c r="AC15" s="272"/>
      <c r="AD15" s="273"/>
      <c r="AE15" s="244"/>
      <c r="AF15" s="273"/>
      <c r="AG15" s="273"/>
      <c r="AH15" s="272"/>
      <c r="AI15" s="244"/>
      <c r="AJ15" s="271"/>
      <c r="AK15" s="244"/>
      <c r="AL15" s="244"/>
    </row>
    <row r="16" ht="21.45" customHeight="1" spans="1:20" x14ac:dyDescent="0.25">
      <c r="A16" s="237"/>
      <c r="B16" s="238"/>
      <c r="C16" s="238"/>
      <c r="D16" s="239"/>
      <c r="E16" s="239"/>
      <c r="F16" s="238"/>
      <c r="G16" s="238"/>
      <c r="H16" s="238"/>
      <c r="I16" s="238"/>
      <c r="J16" s="240"/>
      <c r="K16" s="238"/>
      <c r="L16" s="238"/>
      <c r="M16" s="238"/>
      <c r="N16" s="238"/>
      <c r="O16" s="238"/>
      <c r="P16" s="238"/>
      <c r="Q16" s="238"/>
      <c r="R16" s="238"/>
      <c r="S16" s="238"/>
    </row>
    <row r="17" ht="25.2" customHeight="1" spans="1:20" x14ac:dyDescent="0.25">
      <c r="A17" s="241" t="s">
        <v>171</v>
      </c>
      <c r="B17" s="241"/>
      <c r="C17" s="241"/>
      <c r="D17" s="241"/>
      <c r="E17" s="242"/>
      <c r="F17" s="243"/>
      <c r="G17" s="241" t="s">
        <v>172</v>
      </c>
      <c r="H17" s="241"/>
      <c r="I17" s="241"/>
      <c r="J17" s="244"/>
      <c r="K17" s="244"/>
      <c r="L17" s="244"/>
      <c r="M17" s="241" t="s">
        <v>173</v>
      </c>
      <c r="N17" s="241"/>
      <c r="O17" s="241"/>
      <c r="P17" s="241"/>
      <c r="Q17" s="241"/>
      <c r="R17" s="245"/>
      <c r="S17" s="243"/>
    </row>
    <row r="18" ht="25.8" customHeight="1" spans="1:20" x14ac:dyDescent="0.25">
      <c r="A18" s="246" t="s">
        <v>174</v>
      </c>
      <c r="B18" s="243"/>
      <c r="C18" s="243"/>
      <c r="D18" s="247"/>
      <c r="E18" s="247"/>
      <c r="F18" s="243"/>
      <c r="G18" s="248" t="s">
        <v>175</v>
      </c>
      <c r="H18" s="243"/>
      <c r="I18" s="243"/>
      <c r="J18" s="249"/>
      <c r="K18" s="244"/>
      <c r="L18" s="244"/>
      <c r="M18" s="248" t="s">
        <v>175</v>
      </c>
      <c r="N18" s="248"/>
      <c r="O18" s="248"/>
      <c r="P18" s="243"/>
      <c r="Q18" s="243"/>
      <c r="R18" s="244"/>
      <c r="S18" s="243"/>
    </row>
    <row r="19" ht="25.8" customHeight="1" spans="1:20" x14ac:dyDescent="0.25">
      <c r="A19" s="246" t="s">
        <v>176</v>
      </c>
      <c r="B19" s="243"/>
      <c r="C19" s="243"/>
      <c r="D19" s="247"/>
      <c r="E19" s="247"/>
      <c r="F19" s="243"/>
      <c r="G19" s="248" t="s">
        <v>177</v>
      </c>
      <c r="H19" s="243"/>
      <c r="I19" s="243"/>
      <c r="J19" s="249"/>
      <c r="K19" s="244"/>
      <c r="L19" s="244"/>
      <c r="M19" s="248" t="s">
        <v>177</v>
      </c>
      <c r="N19" s="248"/>
      <c r="O19" s="248"/>
      <c r="P19" s="243"/>
      <c r="Q19" s="243"/>
      <c r="R19" s="244"/>
      <c r="S19" s="243"/>
    </row>
    <row r="20" ht="25.2" customHeight="1" spans="1:20" x14ac:dyDescent="0.25">
      <c r="A20" s="246" t="s">
        <v>178</v>
      </c>
      <c r="B20" s="243"/>
      <c r="C20" s="243"/>
      <c r="D20" s="247"/>
      <c r="E20" s="247"/>
      <c r="F20" s="243"/>
      <c r="G20" s="248" t="s">
        <v>179</v>
      </c>
      <c r="H20" s="243"/>
      <c r="I20" s="244"/>
      <c r="J20" s="244"/>
      <c r="K20" s="243"/>
      <c r="L20" s="243"/>
      <c r="M20" s="248" t="s">
        <v>179</v>
      </c>
      <c r="N20" s="248"/>
      <c r="O20" s="248"/>
      <c r="P20" s="243"/>
      <c r="Q20" s="244"/>
      <c r="R20" s="243"/>
      <c r="S20" s="243"/>
    </row>
  </sheetData>
  <autoFilter ref="A5:S14"/>
  <mergeCells count="8">
    <mergeCell ref="A1:S1"/>
    <mergeCell ref="A2:S2"/>
    <mergeCell ref="A3:S3"/>
    <mergeCell ref="A4:S4"/>
    <mergeCell ref="A14:E14"/>
    <mergeCell ref="A17:B17"/>
    <mergeCell ref="G17:H17"/>
    <mergeCell ref="M17:P1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workbookViewId="0" zoomScale="54" zoomScaleNormal="99">
      <selection activeCell="G17" sqref="G17"/>
    </sheetView>
  </sheetViews>
  <sheetFormatPr defaultRowHeight="14.4" outlineLevelRow="0" outlineLevelCol="0" x14ac:dyDescent="0.3" customHeight="1"/>
  <cols>
    <col min="1" max="1" width="9.109375" customWidth="1"/>
    <col min="2" max="2" width="30.33203125" customWidth="1"/>
    <col min="3" max="3" width="15.5546875" customWidth="1"/>
    <col min="4" max="4" width="12.33203125" customWidth="1"/>
    <col min="5" max="5" width="15.44140625" customWidth="1"/>
    <col min="6" max="6" width="20.44140625" customWidth="1"/>
    <col min="7" max="7" width="19.33203125" customWidth="1"/>
    <col min="8" max="8" width="18.6640625" customWidth="1"/>
    <col min="9" max="9" width="17.6640625" customWidth="1"/>
    <col min="10" max="10" width="19.6640625" customWidth="1"/>
    <col min="11" max="11" width="21.109375" customWidth="1"/>
    <col min="12" max="12" width="19.33203125" customWidth="1"/>
    <col min="13" max="13" width="17.5546875" customWidth="1"/>
    <col min="14" max="14" width="17.88671875" customWidth="1"/>
    <col min="15" max="15" width="16" customWidth="1"/>
    <col min="16" max="16" width="19.5546875" customWidth="1"/>
    <col min="17" max="17" width="20" customWidth="1"/>
    <col min="18" max="18" width="19.5546875" customWidth="1"/>
    <col min="19" max="19" width="20" customWidth="1"/>
    <col min="20" max="20" width="17.88671875" customWidth="1"/>
  </cols>
  <sheetData>
    <row r="1" ht="34.95" customHeight="1" spans="1:20" x14ac:dyDescent="0.25">
      <c r="A1" s="205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</row>
    <row r="2" ht="34.95" customHeight="1" spans="1:20" x14ac:dyDescent="0.25">
      <c r="A2" s="205" t="s">
        <v>276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</row>
    <row r="3" ht="34.95" customHeight="1" spans="1:20" x14ac:dyDescent="0.25">
      <c r="A3" s="206" t="s">
        <v>181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</row>
    <row r="4" ht="96" customHeight="1" spans="1:20" s="207" customFormat="1" x14ac:dyDescent="0.25">
      <c r="A4" s="208" t="s">
        <v>3</v>
      </c>
      <c r="B4" s="209" t="s">
        <v>4</v>
      </c>
      <c r="C4" s="209" t="s">
        <v>5</v>
      </c>
      <c r="D4" s="210" t="s">
        <v>277</v>
      </c>
      <c r="E4" s="210" t="s">
        <v>7</v>
      </c>
      <c r="F4" s="211" t="s">
        <v>8</v>
      </c>
      <c r="G4" s="211" t="s">
        <v>9</v>
      </c>
      <c r="H4" s="211" t="s">
        <v>10</v>
      </c>
      <c r="I4" s="212" t="s">
        <v>11</v>
      </c>
      <c r="J4" s="209" t="s">
        <v>12</v>
      </c>
      <c r="K4" s="209" t="s">
        <v>13</v>
      </c>
      <c r="L4" s="209" t="s">
        <v>14</v>
      </c>
      <c r="M4" s="213" t="s">
        <v>15</v>
      </c>
      <c r="N4" s="209" t="s">
        <v>16</v>
      </c>
      <c r="O4" s="209" t="s">
        <v>17</v>
      </c>
      <c r="P4" s="209" t="s">
        <v>18</v>
      </c>
      <c r="Q4" s="214" t="s">
        <v>19</v>
      </c>
      <c r="R4" s="209" t="s">
        <v>20</v>
      </c>
      <c r="S4" s="208" t="s">
        <v>21</v>
      </c>
      <c r="T4" s="207"/>
    </row>
    <row r="5" ht="25.2" customHeight="1" spans="1:20" s="215" customFormat="1" x14ac:dyDescent="0.25">
      <c r="A5" s="216">
        <v>1</v>
      </c>
      <c r="B5" s="217" t="s">
        <v>278</v>
      </c>
      <c r="C5" s="218" t="s">
        <v>40</v>
      </c>
      <c r="D5" s="218" t="s">
        <v>201</v>
      </c>
      <c r="E5" s="218">
        <v>30</v>
      </c>
      <c r="F5" s="219">
        <v>3176.47</v>
      </c>
      <c r="G5" s="220">
        <f>+F5/30*E5</f>
        <v>3176.47</v>
      </c>
      <c r="H5" s="220"/>
      <c r="I5" s="43"/>
      <c r="J5" s="221">
        <f>G5+H5+I5</f>
        <v>3176.47</v>
      </c>
      <c r="K5" s="222">
        <f>G5+H5+I5</f>
        <v>3176.47</v>
      </c>
      <c r="L5" s="220">
        <f>IF(K5&lt;=2000,(0),IF(K5&lt;=4000,(K5*0.15)-300,IF(K5&lt;=7000,(K5*0.2)-500,IF(K5&lt;=10000,(K5*0.25)-850,IF(K5&lt;=14000,(K5*0.3)-1350,IF(K5&gt;14000,(K5*0.35)-2050))))))</f>
        <v>176.47049999999996</v>
      </c>
      <c r="M5" s="222"/>
      <c r="N5" s="222"/>
      <c r="O5" s="221"/>
      <c r="P5" s="220">
        <f>L5+M5+O5</f>
        <v>176.47049999999996</v>
      </c>
      <c r="Q5" s="43"/>
      <c r="R5" s="220">
        <f>J5-P5+Q5</f>
        <v>2999.9995</v>
      </c>
      <c r="S5" s="223"/>
      <c r="T5" s="224"/>
    </row>
    <row r="6" ht="25.2" customHeight="1" spans="1:20" s="138" customFormat="1" x14ac:dyDescent="0.25">
      <c r="A6" s="225">
        <v>2</v>
      </c>
      <c r="B6" s="226" t="s">
        <v>279</v>
      </c>
      <c r="C6" s="19" t="s">
        <v>91</v>
      </c>
      <c r="D6" s="19" t="s">
        <v>201</v>
      </c>
      <c r="E6" s="19">
        <v>30</v>
      </c>
      <c r="F6" s="21">
        <v>9044.12</v>
      </c>
      <c r="G6" s="22">
        <f>+F6/30*E6</f>
        <v>9044.12</v>
      </c>
      <c r="H6" s="23">
        <v>16</v>
      </c>
      <c r="I6" s="43">
        <f>2788.86/30*E6</f>
        <v>2788.86</v>
      </c>
      <c r="J6" s="227">
        <f>G6+H6+I6</f>
        <v>11848.980000000001</v>
      </c>
      <c r="K6" s="26">
        <f>G6+H6+I6</f>
        <v>11848.980000000001</v>
      </c>
      <c r="L6" s="22">
        <f>IF(K6&lt;=2000,(0),IF(K6&lt;=4000,(K6*0.15)-300,IF(K6&lt;=7000,(K6*0.2)-500,IF(K6&lt;=10000,(K6*0.25)-850,IF(K6&lt;=14000,(K6*0.3)-1350,IF(K6&gt;14000,(K6*0.35)-2050))))))</f>
        <v>2204.6940000000004</v>
      </c>
      <c r="M6" s="26">
        <f>F6*0.07</f>
        <v>633.0884000000001</v>
      </c>
      <c r="N6" s="26">
        <f>F6*0.11</f>
        <v>994.8532000000001</v>
      </c>
      <c r="O6" s="25"/>
      <c r="P6" s="22">
        <f>L6+M6+O6</f>
        <v>2837.7824000000005</v>
      </c>
      <c r="Q6" s="24">
        <v>1000</v>
      </c>
      <c r="R6" s="22">
        <f>J6-P6+Q6</f>
        <v>10011.197600000001</v>
      </c>
      <c r="S6" s="228"/>
      <c r="T6" s="229"/>
    </row>
    <row r="7" ht="25.2" customHeight="1" spans="1:20" s="138" customFormat="1" x14ac:dyDescent="0.25">
      <c r="A7" s="225">
        <v>3</v>
      </c>
      <c r="B7" s="230" t="s">
        <v>280</v>
      </c>
      <c r="C7" s="225" t="s">
        <v>40</v>
      </c>
      <c r="D7" s="225" t="s">
        <v>201</v>
      </c>
      <c r="E7" s="225">
        <v>30</v>
      </c>
      <c r="F7" s="231">
        <v>7573.53</v>
      </c>
      <c r="G7" s="220">
        <f>+F7/30*E7</f>
        <v>7573.53</v>
      </c>
      <c r="H7" s="232"/>
      <c r="I7" s="233">
        <f>2683.83/30*E7</f>
        <v>2683.83</v>
      </c>
      <c r="J7" s="227">
        <f>G7+H7+I7</f>
        <v>10257.36</v>
      </c>
      <c r="K7" s="234">
        <f>G7+H7+I7</f>
        <v>10257.36</v>
      </c>
      <c r="L7" s="232">
        <f>IF(K7&lt;=2000,(0),IF(K7&lt;=4000,(K7*0.15)-300,IF(K7&lt;=7000,(K7*0.2)-500,IF(K7&lt;=10000,(K7*0.25)-850,IF(K7&lt;=14000,(K7*0.3)-1350,IF(K7&gt;14000,(K7*0.35)-2050))))))</f>
        <v>1727.208</v>
      </c>
      <c r="M7" s="234">
        <f>F7*0.07</f>
        <v>530.1471</v>
      </c>
      <c r="N7" s="234">
        <f>F7*0.11</f>
        <v>833.0883</v>
      </c>
      <c r="O7" s="227"/>
      <c r="P7" s="232">
        <f>L7+M7+O7</f>
        <v>2257.3551</v>
      </c>
      <c r="Q7" s="233"/>
      <c r="R7" s="232">
        <f>J7-P7+Q7</f>
        <v>8000.0049</v>
      </c>
      <c r="S7" s="228"/>
      <c r="T7" s="229"/>
    </row>
    <row r="8" ht="27.6" customHeight="1" spans="1:20" x14ac:dyDescent="0.25">
      <c r="A8" s="235" t="s">
        <v>170</v>
      </c>
      <c r="B8" s="235"/>
      <c r="C8" s="235"/>
      <c r="D8" s="235"/>
      <c r="E8" s="235"/>
      <c r="F8" s="236">
        <f>SUM(F5:F7)</f>
        <v>19794.12</v>
      </c>
      <c r="G8" s="236">
        <f t="shared" ref="G8:Q8" si="0">SUM(G5:G7)</f>
        <v>19794.12</v>
      </c>
      <c r="H8" s="236">
        <f t="shared" si="0"/>
        <v>16</v>
      </c>
      <c r="I8" s="236">
        <f t="shared" si="0"/>
        <v>5472.6900000000005</v>
      </c>
      <c r="J8" s="236">
        <f t="shared" si="0"/>
        <v>25282.81</v>
      </c>
      <c r="K8" s="236">
        <f t="shared" si="0"/>
        <v>25282.81</v>
      </c>
      <c r="L8" s="236">
        <f t="shared" si="0"/>
        <v>4108.3725</v>
      </c>
      <c r="M8" s="236">
        <f t="shared" si="0"/>
        <v>1163.2355000000002</v>
      </c>
      <c r="N8" s="236">
        <f t="shared" si="0"/>
        <v>1827.9415000000001</v>
      </c>
      <c r="O8" s="236">
        <f t="shared" si="0"/>
        <v>0</v>
      </c>
      <c r="P8" s="236">
        <f t="shared" si="0"/>
        <v>5271.608</v>
      </c>
      <c r="Q8" s="236">
        <f t="shared" si="0"/>
        <v>1000</v>
      </c>
      <c r="R8" s="236">
        <f>SUM(R5:R7)</f>
        <v>21011.202</v>
      </c>
      <c r="S8" s="228"/>
    </row>
    <row r="9" spans="1:20" x14ac:dyDescent="0.25">
      <c r="A9" s="237"/>
      <c r="B9" s="238"/>
      <c r="C9" s="238"/>
      <c r="D9" s="239"/>
      <c r="E9" s="239"/>
      <c r="F9" s="238"/>
      <c r="G9" s="238"/>
      <c r="H9" s="238"/>
      <c r="I9" s="238"/>
      <c r="J9" s="240"/>
      <c r="K9" s="238"/>
      <c r="L9" s="238"/>
      <c r="M9" s="238"/>
      <c r="N9" s="238"/>
      <c r="O9" s="238"/>
      <c r="P9" s="238"/>
      <c r="Q9" s="238"/>
      <c r="R9" s="238"/>
      <c r="S9" s="238"/>
    </row>
    <row r="10" ht="25.2" customHeight="1" spans="1:20" x14ac:dyDescent="0.25">
      <c r="A10" s="241" t="s">
        <v>171</v>
      </c>
      <c r="B10" s="241"/>
      <c r="C10" s="241"/>
      <c r="D10" s="241"/>
      <c r="E10" s="242"/>
      <c r="F10" s="243"/>
      <c r="G10" s="241" t="s">
        <v>172</v>
      </c>
      <c r="H10" s="241"/>
      <c r="I10" s="241"/>
      <c r="J10" s="244"/>
      <c r="K10" s="244"/>
      <c r="L10" s="244"/>
      <c r="M10" s="241" t="s">
        <v>173</v>
      </c>
      <c r="N10" s="241"/>
      <c r="O10" s="241"/>
      <c r="P10" s="241"/>
      <c r="Q10" s="241"/>
      <c r="R10" s="245"/>
      <c r="S10" s="243"/>
    </row>
    <row r="11" ht="25.8" customHeight="1" spans="1:20" x14ac:dyDescent="0.25">
      <c r="A11" s="246" t="s">
        <v>174</v>
      </c>
      <c r="B11" s="243"/>
      <c r="C11" s="243"/>
      <c r="D11" s="247"/>
      <c r="E11" s="247"/>
      <c r="F11" s="243"/>
      <c r="G11" s="248" t="s">
        <v>175</v>
      </c>
      <c r="H11" s="243"/>
      <c r="I11" s="243"/>
      <c r="J11" s="249"/>
      <c r="K11" s="244"/>
      <c r="L11" s="244"/>
      <c r="M11" s="248" t="s">
        <v>175</v>
      </c>
      <c r="N11" s="248"/>
      <c r="O11" s="248"/>
      <c r="P11" s="243"/>
      <c r="Q11" s="243"/>
      <c r="R11" s="244"/>
      <c r="S11" s="243"/>
    </row>
    <row r="12" ht="25.8" customHeight="1" spans="1:20" x14ac:dyDescent="0.25">
      <c r="A12" s="246" t="s">
        <v>176</v>
      </c>
      <c r="B12" s="243"/>
      <c r="C12" s="243"/>
      <c r="D12" s="247"/>
      <c r="E12" s="247"/>
      <c r="F12" s="243"/>
      <c r="G12" s="248" t="s">
        <v>177</v>
      </c>
      <c r="H12" s="243"/>
      <c r="I12" s="243"/>
      <c r="J12" s="249"/>
      <c r="K12" s="244"/>
      <c r="L12" s="244"/>
      <c r="M12" s="248" t="s">
        <v>177</v>
      </c>
      <c r="N12" s="248"/>
      <c r="O12" s="248"/>
      <c r="P12" s="243"/>
      <c r="Q12" s="243"/>
      <c r="R12" s="244"/>
      <c r="S12" s="243"/>
    </row>
    <row r="13" ht="25.2" customHeight="1" spans="1:20" x14ac:dyDescent="0.25">
      <c r="A13" s="246" t="s">
        <v>178</v>
      </c>
      <c r="B13" s="243"/>
      <c r="C13" s="243"/>
      <c r="D13" s="247"/>
      <c r="E13" s="247"/>
      <c r="F13" s="243"/>
      <c r="G13" s="248" t="s">
        <v>179</v>
      </c>
      <c r="H13" s="243"/>
      <c r="I13" s="244"/>
      <c r="J13" s="244"/>
      <c r="K13" s="243"/>
      <c r="L13" s="243"/>
      <c r="M13" s="248" t="s">
        <v>179</v>
      </c>
      <c r="N13" s="248"/>
      <c r="O13" s="248"/>
      <c r="P13" s="243"/>
      <c r="Q13" s="244"/>
      <c r="R13" s="243"/>
      <c r="S13" s="243"/>
    </row>
  </sheetData>
  <autoFilter ref="A4:S8"/>
  <mergeCells count="7">
    <mergeCell ref="A1:S1"/>
    <mergeCell ref="A2:S2"/>
    <mergeCell ref="A3:S3"/>
    <mergeCell ref="A8:E8"/>
    <mergeCell ref="A10:B10"/>
    <mergeCell ref="G10:H10"/>
    <mergeCell ref="M10:P10"/>
  </mergeCells>
  <pageMargins left="0.7" right="0.7" top="0.75" bottom="0.75" header="0.3" footer="0.3"/>
  <pageSetup orientation="portrait" horizontalDpi="360" verticalDpi="36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"/>
  <sheetViews>
    <sheetView workbookViewId="0" zoomScale="60" zoomScaleNormal="100">
      <selection activeCell="F13" sqref="F13"/>
    </sheetView>
  </sheetViews>
  <sheetFormatPr defaultRowHeight="14.4" outlineLevelRow="0" outlineLevelCol="0" x14ac:dyDescent="0.3" defaultColWidth="8.88671875" customHeight="1"/>
  <cols>
    <col min="1" max="1" width="8.88671875" style="5" customWidth="1"/>
    <col min="2" max="2" width="32.5546875" style="5" customWidth="1"/>
    <col min="3" max="3" width="25.21875" style="5" customWidth="1"/>
    <col min="4" max="4" width="13.109375" style="5" customWidth="1"/>
    <col min="5" max="5" width="16.33203125" style="5" customWidth="1"/>
    <col min="6" max="6" width="20.88671875" style="5" customWidth="1"/>
    <col min="7" max="7" width="20.6640625" style="5" customWidth="1"/>
    <col min="8" max="8" width="19.44140625" style="5" customWidth="1"/>
    <col min="9" max="9" width="19.109375" style="5" customWidth="1"/>
    <col min="10" max="10" width="18.109375" style="5" customWidth="1"/>
    <col min="11" max="11" width="19.109375" style="5" customWidth="1"/>
    <col min="12" max="12" width="17.6640625" style="5" customWidth="1"/>
    <col min="13" max="13" width="19.6640625" style="5" customWidth="1"/>
    <col min="14" max="14" width="18.6640625" style="5" customWidth="1"/>
    <col min="15" max="15" width="16.109375" style="5" customWidth="1"/>
    <col min="16" max="16" width="20.33203125" style="5" customWidth="1"/>
    <col min="17" max="17" width="20.88671875" style="5" customWidth="1"/>
    <col min="18" max="18" width="20.33203125" style="5" customWidth="1"/>
    <col min="19" max="19" width="24.33203125" style="5" customWidth="1"/>
    <col min="20" max="20" width="14.6640625" style="5" customWidth="1"/>
    <col min="21" max="16384" width="8.88671875" style="5" customWidth="1"/>
  </cols>
  <sheetData>
    <row r="1" ht="34.8" customHeight="1" spans="1:20" x14ac:dyDescent="0.25">
      <c r="A1" s="294" t="s">
        <v>0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5"/>
    </row>
    <row r="2" ht="34.8" customHeight="1" spans="1:20" x14ac:dyDescent="0.25">
      <c r="A2" s="7" t="s">
        <v>315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5"/>
    </row>
    <row r="3" ht="34.8" customHeight="1" spans="1:20" x14ac:dyDescent="0.25">
      <c r="A3" s="295" t="s">
        <v>304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5"/>
    </row>
    <row r="4" ht="24.6" customHeight="1" spans="1:20" x14ac:dyDescent="0.25">
      <c r="A4" s="296"/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96"/>
      <c r="S4" s="296"/>
      <c r="T4" s="5"/>
    </row>
    <row r="5" ht="73.8" customHeight="1" spans="1:20" s="80" customFormat="1" x14ac:dyDescent="0.25">
      <c r="A5" s="303" t="s">
        <v>3</v>
      </c>
      <c r="B5" s="304" t="s">
        <v>4</v>
      </c>
      <c r="C5" s="304" t="s">
        <v>5</v>
      </c>
      <c r="D5" s="300" t="s">
        <v>277</v>
      </c>
      <c r="E5" s="300" t="s">
        <v>7</v>
      </c>
      <c r="F5" s="301" t="s">
        <v>8</v>
      </c>
      <c r="G5" s="301" t="s">
        <v>9</v>
      </c>
      <c r="H5" s="302" t="s">
        <v>10</v>
      </c>
      <c r="I5" s="303" t="s">
        <v>11</v>
      </c>
      <c r="J5" s="304" t="s">
        <v>12</v>
      </c>
      <c r="K5" s="304" t="s">
        <v>13</v>
      </c>
      <c r="L5" s="304" t="s">
        <v>14</v>
      </c>
      <c r="M5" s="302" t="s">
        <v>15</v>
      </c>
      <c r="N5" s="304" t="s">
        <v>16</v>
      </c>
      <c r="O5" s="304" t="s">
        <v>17</v>
      </c>
      <c r="P5" s="304" t="s">
        <v>18</v>
      </c>
      <c r="Q5" s="298" t="s">
        <v>19</v>
      </c>
      <c r="R5" s="304" t="s">
        <v>20</v>
      </c>
      <c r="S5" s="303" t="s">
        <v>21</v>
      </c>
      <c r="T5" s="80"/>
    </row>
    <row r="6" ht="25.2" customHeight="1" spans="1:20" x14ac:dyDescent="0.25">
      <c r="A6" s="48">
        <v>1</v>
      </c>
      <c r="B6" s="47" t="s">
        <v>316</v>
      </c>
      <c r="C6" s="48" t="s">
        <v>302</v>
      </c>
      <c r="D6" s="48" t="s">
        <v>226</v>
      </c>
      <c r="E6" s="48">
        <v>30</v>
      </c>
      <c r="F6" s="21">
        <v>17155.18</v>
      </c>
      <c r="G6" s="22">
        <f t="shared" ref="G6:G11" si="0">+F6/30*E6</f>
        <v>17155.18</v>
      </c>
      <c r="H6" s="35">
        <f>4615.38</f>
        <v>4615.38</v>
      </c>
      <c r="I6" s="24">
        <v>3076.92</v>
      </c>
      <c r="J6" s="52">
        <f t="shared" ref="J6:J11" si="1">G6+H6+I6</f>
        <v>24847.480000000003</v>
      </c>
      <c r="K6" s="53">
        <f t="shared" ref="K6:K11" si="2">G6+H6+I6</f>
        <v>24847.480000000003</v>
      </c>
      <c r="L6" s="54">
        <f t="shared" ref="L6:L11" si="3">IF(K6&lt;=2000,(0),IF(K6&lt;=4000,(K6*0.15)-300,IF(K6&lt;=7000,(K6*0.2)-500,IF(K6&lt;=10000,(K6*0.25)-850,IF(K6&lt;=14000,(K6*0.3)-1350,IF(K6&gt;14000,(K6*0.35)-2050))))))</f>
        <v>6646.618</v>
      </c>
      <c r="M6" s="53">
        <f>F6*0.07</f>
        <v>1200.8626000000002</v>
      </c>
      <c r="N6" s="53">
        <f>F6*0.11</f>
        <v>1887.0698</v>
      </c>
      <c r="O6" s="52"/>
      <c r="P6" s="54">
        <f t="shared" ref="P6:P11" si="4">L6+M6+O6</f>
        <v>7847.480600000001</v>
      </c>
      <c r="Q6" s="51">
        <v>1000</v>
      </c>
      <c r="R6" s="54">
        <f t="shared" ref="R6:R11" si="5">J6-P6+Q6</f>
        <v>17999.9994</v>
      </c>
      <c r="S6" s="328">
        <f>R6-18000</f>
        <v>-0.0005999999993946403</v>
      </c>
      <c r="T6" s="37"/>
    </row>
    <row r="7" ht="25.2" customHeight="1" spans="1:20" x14ac:dyDescent="0.25">
      <c r="A7" s="48">
        <v>2</v>
      </c>
      <c r="B7" s="47" t="s">
        <v>317</v>
      </c>
      <c r="C7" s="48" t="s">
        <v>33</v>
      </c>
      <c r="D7" s="48" t="s">
        <v>226</v>
      </c>
      <c r="E7" s="48">
        <v>30</v>
      </c>
      <c r="F7" s="49">
        <v>6164.38</v>
      </c>
      <c r="G7" s="22">
        <f t="shared" si="0"/>
        <v>6164.38</v>
      </c>
      <c r="H7" s="54"/>
      <c r="I7" s="24">
        <f>2610.96</f>
        <v>2610.96</v>
      </c>
      <c r="J7" s="52">
        <f>G7+H7+I7</f>
        <v>8775.34</v>
      </c>
      <c r="K7" s="53">
        <f>G7+H7+I7</f>
        <v>8775.34</v>
      </c>
      <c r="L7" s="54">
        <f>IF(K7&lt;=2000,(0),IF(K7&lt;=4000,(K7*0.15)-300,IF(K7&lt;=7000,(K7*0.2)-500,IF(K7&lt;=10000,(K7*0.25)-850,IF(K7&lt;=14000,(K7*0.3)-1350,IF(K7&gt;14000,(K7*0.35)-2050))))))</f>
        <v>1343.835</v>
      </c>
      <c r="M7" s="53">
        <f>F7*0.07</f>
        <v>431.50660000000005</v>
      </c>
      <c r="N7" s="53">
        <f>F7*0.11</f>
        <v>678.0818</v>
      </c>
      <c r="O7" s="52"/>
      <c r="P7" s="54">
        <f t="shared" si="4"/>
        <v>1775.3416000000002</v>
      </c>
      <c r="Q7" s="51"/>
      <c r="R7" s="54">
        <f t="shared" si="5"/>
        <v>6999.9984</v>
      </c>
      <c r="S7" s="54"/>
      <c r="T7" s="37"/>
    </row>
    <row r="8" ht="25.2" customHeight="1" spans="1:20" x14ac:dyDescent="0.25">
      <c r="A8" s="48">
        <v>3</v>
      </c>
      <c r="B8" s="47" t="s">
        <v>318</v>
      </c>
      <c r="C8" s="48" t="s">
        <v>40</v>
      </c>
      <c r="D8" s="48" t="s">
        <v>226</v>
      </c>
      <c r="E8" s="48">
        <v>30</v>
      </c>
      <c r="F8" s="49">
        <v>7573.53</v>
      </c>
      <c r="G8" s="22">
        <f t="shared" si="0"/>
        <v>7573.53</v>
      </c>
      <c r="H8" s="54"/>
      <c r="I8" s="24">
        <f>2683.83/30*E8</f>
        <v>2683.83</v>
      </c>
      <c r="J8" s="52">
        <f>G8+H8+I8</f>
        <v>10257.36</v>
      </c>
      <c r="K8" s="53">
        <f>G8+H8+I8</f>
        <v>10257.36</v>
      </c>
      <c r="L8" s="54">
        <f>IF(K8&lt;=2000,(0),IF(K8&lt;=4000,(K8*0.15)-300,IF(K8&lt;=7000,(K8*0.2)-500,IF(K8&lt;=10000,(K8*0.25)-850,IF(K8&lt;=14000,(K8*0.3)-1350,IF(K8&gt;14000,(K8*0.35)-2050))))))</f>
        <v>1727.208</v>
      </c>
      <c r="M8" s="53"/>
      <c r="N8" s="53"/>
      <c r="O8" s="52"/>
      <c r="P8" s="54">
        <f t="shared" si="4"/>
        <v>1727.208</v>
      </c>
      <c r="Q8" s="51">
        <f>1000/30*E8</f>
        <v>1000.0000000000001</v>
      </c>
      <c r="R8" s="54">
        <f t="shared" si="5"/>
        <v>9530.152</v>
      </c>
      <c r="S8" s="54"/>
      <c r="T8" s="37"/>
    </row>
    <row r="9" ht="25.2" customHeight="1" spans="1:20" x14ac:dyDescent="0.25">
      <c r="A9" s="48">
        <v>4</v>
      </c>
      <c r="B9" s="20" t="s">
        <v>319</v>
      </c>
      <c r="C9" s="19" t="s">
        <v>23</v>
      </c>
      <c r="D9" s="19" t="s">
        <v>226</v>
      </c>
      <c r="E9" s="19">
        <v>30</v>
      </c>
      <c r="F9" s="21">
        <v>2185.29</v>
      </c>
      <c r="G9" s="22">
        <f t="shared" si="0"/>
        <v>2185.29</v>
      </c>
      <c r="H9" s="22"/>
      <c r="I9" s="24"/>
      <c r="J9" s="25">
        <f t="shared" si="1"/>
        <v>2185.29</v>
      </c>
      <c r="K9" s="26">
        <f t="shared" si="2"/>
        <v>2185.29</v>
      </c>
      <c r="L9" s="22">
        <f t="shared" si="3"/>
        <v>27.793499999999995</v>
      </c>
      <c r="M9" s="53">
        <f>F9*0.07</f>
        <v>152.9703</v>
      </c>
      <c r="N9" s="53">
        <f>F9*0.11</f>
        <v>240.3819</v>
      </c>
      <c r="O9" s="329"/>
      <c r="P9" s="54">
        <f t="shared" si="4"/>
        <v>180.7638</v>
      </c>
      <c r="Q9" s="330"/>
      <c r="R9" s="54">
        <f t="shared" si="5"/>
        <v>2004.5262</v>
      </c>
      <c r="S9" s="331"/>
      <c r="T9" s="37"/>
    </row>
    <row r="10" ht="25.2" customHeight="1" spans="1:20" x14ac:dyDescent="0.25">
      <c r="A10" s="48">
        <v>5</v>
      </c>
      <c r="B10" s="47" t="s">
        <v>320</v>
      </c>
      <c r="C10" s="48" t="s">
        <v>64</v>
      </c>
      <c r="D10" s="48" t="s">
        <v>226</v>
      </c>
      <c r="E10" s="48">
        <v>30</v>
      </c>
      <c r="F10" s="332">
        <v>3996.87</v>
      </c>
      <c r="G10" s="22">
        <f t="shared" si="0"/>
        <v>3996.8699999999994</v>
      </c>
      <c r="H10" s="54"/>
      <c r="I10" s="51"/>
      <c r="J10" s="52">
        <f t="shared" si="1"/>
        <v>3996.8699999999994</v>
      </c>
      <c r="K10" s="53">
        <f>G10+H10+I10</f>
        <v>3996.8699999999994</v>
      </c>
      <c r="L10" s="54">
        <f t="shared" si="3"/>
        <v>299.53049999999985</v>
      </c>
      <c r="M10" s="234"/>
      <c r="N10" s="234"/>
      <c r="O10" s="52"/>
      <c r="P10" s="54">
        <f t="shared" si="4"/>
        <v>299.53049999999985</v>
      </c>
      <c r="Q10" s="51"/>
      <c r="R10" s="54">
        <f t="shared" si="5"/>
        <v>3697.3394999999996</v>
      </c>
      <c r="S10" s="54"/>
      <c r="T10" s="37"/>
    </row>
    <row r="11" ht="25.2" customHeight="1" spans="1:20" x14ac:dyDescent="0.25">
      <c r="A11" s="48">
        <v>6</v>
      </c>
      <c r="B11" s="47" t="s">
        <v>321</v>
      </c>
      <c r="C11" s="48" t="s">
        <v>59</v>
      </c>
      <c r="D11" s="48" t="s">
        <v>226</v>
      </c>
      <c r="E11" s="48">
        <v>30</v>
      </c>
      <c r="F11" s="49">
        <v>9044.12</v>
      </c>
      <c r="G11" s="22">
        <f t="shared" si="0"/>
        <v>9044.12</v>
      </c>
      <c r="H11" s="54"/>
      <c r="I11" s="233">
        <v>2788.86</v>
      </c>
      <c r="J11" s="52">
        <f t="shared" si="1"/>
        <v>11832.980000000001</v>
      </c>
      <c r="K11" s="53">
        <f t="shared" si="2"/>
        <v>11832.980000000001</v>
      </c>
      <c r="L11" s="54">
        <f t="shared" si="3"/>
        <v>2199.8940000000002</v>
      </c>
      <c r="M11" s="53">
        <f>F11*0.07</f>
        <v>633.0884000000001</v>
      </c>
      <c r="N11" s="53">
        <f>F11*0.11</f>
        <v>994.8532000000001</v>
      </c>
      <c r="O11" s="52"/>
      <c r="P11" s="54">
        <f t="shared" si="4"/>
        <v>2832.9824000000003</v>
      </c>
      <c r="Q11" s="51">
        <v>1000</v>
      </c>
      <c r="R11" s="54">
        <f t="shared" si="5"/>
        <v>9999.9976</v>
      </c>
      <c r="S11" s="54"/>
      <c r="T11" s="37"/>
    </row>
    <row r="12" ht="27.6" customHeight="1" spans="1:20" x14ac:dyDescent="0.25">
      <c r="A12" s="312" t="s">
        <v>170</v>
      </c>
      <c r="B12" s="312"/>
      <c r="C12" s="312"/>
      <c r="D12" s="312"/>
      <c r="E12" s="312"/>
      <c r="F12" s="146">
        <f>SUM(F6:F11)</f>
        <v>46119.37</v>
      </c>
      <c r="G12" s="146">
        <f t="shared" ref="G12:Q12" si="6">SUM(G6:G11)</f>
        <v>46119.37</v>
      </c>
      <c r="H12" s="146">
        <f t="shared" si="6"/>
        <v>4615.38</v>
      </c>
      <c r="I12" s="146">
        <f t="shared" si="6"/>
        <v>11160.57</v>
      </c>
      <c r="J12" s="146">
        <f t="shared" si="6"/>
        <v>61895.320000000014</v>
      </c>
      <c r="K12" s="146">
        <f t="shared" si="6"/>
        <v>61895.320000000014</v>
      </c>
      <c r="L12" s="146">
        <f>SUM(L6:L11)</f>
        <v>12244.879</v>
      </c>
      <c r="M12" s="146">
        <f t="shared" si="6"/>
        <v>2418.4279</v>
      </c>
      <c r="N12" s="146">
        <f t="shared" si="6"/>
        <v>3800.3867</v>
      </c>
      <c r="O12" s="146">
        <f t="shared" si="6"/>
        <v>0</v>
      </c>
      <c r="P12" s="146">
        <f t="shared" si="6"/>
        <v>14663.306900000003</v>
      </c>
      <c r="Q12" s="146">
        <f t="shared" si="6"/>
        <v>3000</v>
      </c>
      <c r="R12" s="146">
        <f>SUM(R6:R11)</f>
        <v>50232.013100000004</v>
      </c>
      <c r="S12" s="54"/>
      <c r="T12" s="5"/>
    </row>
    <row r="13" spans="1:20" x14ac:dyDescent="0.25">
      <c r="A13" s="315"/>
      <c r="B13" s="316"/>
      <c r="C13" s="316"/>
      <c r="D13" s="317"/>
      <c r="E13" s="317"/>
      <c r="F13" s="316"/>
      <c r="G13" s="316"/>
      <c r="H13" s="316"/>
      <c r="I13" s="316"/>
      <c r="J13" s="318"/>
      <c r="K13" s="316"/>
      <c r="L13" s="316"/>
      <c r="M13" s="316"/>
      <c r="N13" s="316"/>
      <c r="O13" s="316"/>
      <c r="P13" s="316"/>
      <c r="Q13" s="316"/>
      <c r="R13" s="316"/>
      <c r="S13" s="316"/>
      <c r="T13" s="5"/>
    </row>
    <row r="14" ht="25.2" customHeight="1" spans="1:20" x14ac:dyDescent="0.25">
      <c r="A14" s="319" t="s">
        <v>171</v>
      </c>
      <c r="B14" s="319"/>
      <c r="C14" s="319"/>
      <c r="D14" s="319"/>
      <c r="E14" s="320"/>
      <c r="F14" s="321"/>
      <c r="G14" s="319" t="s">
        <v>172</v>
      </c>
      <c r="H14" s="319"/>
      <c r="I14" s="319"/>
      <c r="J14" s="314"/>
      <c r="K14" s="314"/>
      <c r="L14" s="314"/>
      <c r="M14" s="319" t="s">
        <v>173</v>
      </c>
      <c r="N14" s="319"/>
      <c r="O14" s="319"/>
      <c r="P14" s="319"/>
      <c r="Q14" s="319"/>
      <c r="R14" s="322"/>
      <c r="S14" s="321"/>
      <c r="T14" s="5"/>
    </row>
    <row r="15" ht="25.8" customHeight="1" spans="1:20" x14ac:dyDescent="0.25">
      <c r="A15" s="323" t="s">
        <v>174</v>
      </c>
      <c r="B15" s="321"/>
      <c r="C15" s="321"/>
      <c r="D15" s="324"/>
      <c r="E15" s="324"/>
      <c r="F15" s="321"/>
      <c r="G15" s="325" t="s">
        <v>175</v>
      </c>
      <c r="H15" s="321"/>
      <c r="I15" s="321"/>
      <c r="J15" s="326"/>
      <c r="K15" s="314"/>
      <c r="L15" s="314"/>
      <c r="M15" s="325" t="s">
        <v>175</v>
      </c>
      <c r="N15" s="325"/>
      <c r="O15" s="325"/>
      <c r="P15" s="321"/>
      <c r="Q15" s="321"/>
      <c r="R15" s="314"/>
      <c r="S15" s="321"/>
      <c r="T15" s="5"/>
    </row>
    <row r="16" ht="25.8" customHeight="1" spans="1:20" x14ac:dyDescent="0.25">
      <c r="A16" s="323" t="s">
        <v>176</v>
      </c>
      <c r="B16" s="321"/>
      <c r="C16" s="321"/>
      <c r="D16" s="324"/>
      <c r="E16" s="324"/>
      <c r="F16" s="321"/>
      <c r="G16" s="325" t="s">
        <v>177</v>
      </c>
      <c r="H16" s="321"/>
      <c r="I16" s="321"/>
      <c r="J16" s="326"/>
      <c r="K16" s="314"/>
      <c r="L16" s="314"/>
      <c r="M16" s="325" t="s">
        <v>177</v>
      </c>
      <c r="N16" s="325"/>
      <c r="O16" s="325"/>
      <c r="P16" s="321"/>
      <c r="Q16" s="321"/>
      <c r="R16" s="314"/>
      <c r="S16" s="321"/>
      <c r="T16" s="5"/>
    </row>
    <row r="17" ht="25.2" customHeight="1" spans="1:20" x14ac:dyDescent="0.25">
      <c r="A17" s="323" t="s">
        <v>178</v>
      </c>
      <c r="B17" s="321"/>
      <c r="C17" s="321"/>
      <c r="D17" s="324"/>
      <c r="E17" s="324"/>
      <c r="F17" s="321"/>
      <c r="G17" s="325" t="s">
        <v>179</v>
      </c>
      <c r="H17" s="321"/>
      <c r="I17" s="314"/>
      <c r="J17" s="314"/>
      <c r="K17" s="321"/>
      <c r="L17" s="321"/>
      <c r="M17" s="325" t="s">
        <v>179</v>
      </c>
      <c r="N17" s="325"/>
      <c r="O17" s="325"/>
      <c r="P17" s="321"/>
      <c r="Q17" s="314"/>
      <c r="R17" s="321"/>
      <c r="S17" s="321"/>
      <c r="T17" s="5"/>
    </row>
    <row r="18" spans="1:20" x14ac:dyDescent="0.25">
      <c r="A18" s="315"/>
      <c r="B18" s="316"/>
      <c r="C18" s="316"/>
      <c r="D18" s="317"/>
      <c r="E18" s="317"/>
      <c r="F18" s="327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5"/>
    </row>
    <row r="19" ht="18" customHeight="1" spans="1:20" x14ac:dyDescent="0.25">
      <c r="A19" s="315"/>
      <c r="B19" s="316"/>
      <c r="C19" s="316"/>
      <c r="D19" s="317"/>
      <c r="E19" s="317"/>
      <c r="F19" s="316"/>
      <c r="G19" s="316"/>
      <c r="H19" s="333"/>
      <c r="I19" s="316"/>
      <c r="J19" s="316"/>
      <c r="K19" s="316"/>
      <c r="L19" s="316"/>
      <c r="M19" s="316"/>
      <c r="N19" s="316"/>
      <c r="O19" s="316"/>
      <c r="P19" s="316"/>
      <c r="Q19" s="316"/>
      <c r="R19" s="316"/>
      <c r="S19" s="316"/>
      <c r="T19" s="5"/>
    </row>
  </sheetData>
  <autoFilter ref="A5:S12"/>
  <mergeCells count="8">
    <mergeCell ref="A1:S1"/>
    <mergeCell ref="A2:S2"/>
    <mergeCell ref="A3:S3"/>
    <mergeCell ref="A4:S4"/>
    <mergeCell ref="A12:E12"/>
    <mergeCell ref="A14:B14"/>
    <mergeCell ref="G14:H14"/>
    <mergeCell ref="M14:P1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 zoomScale="89" zoomScaleNormal="100">
      <selection activeCell="C7" sqref="C7"/>
    </sheetView>
  </sheetViews>
  <sheetFormatPr defaultRowHeight="14.4" outlineLevelRow="0" outlineLevelCol="0" x14ac:dyDescent="0.3" defaultColWidth="8.6640625" customHeight="1"/>
  <cols>
    <col min="1" max="1" width="7.5546875" style="334" customWidth="1"/>
    <col min="2" max="2" width="16.44140625" style="334" customWidth="1"/>
    <col min="3" max="3" width="24.33203125" customWidth="1"/>
    <col min="4" max="4" width="18.6640625" customWidth="1"/>
    <col min="5" max="5" width="22.109375" style="334" customWidth="1"/>
    <col min="6" max="6" width="15.5546875" style="334" customWidth="1"/>
    <col min="7" max="10" width="17.6640625" style="334" customWidth="1"/>
    <col min="11" max="11" width="21.21875" style="334" customWidth="1"/>
  </cols>
  <sheetData>
    <row r="1" ht="36.6" customHeight="1" spans="1:20" s="260" customFormat="1" x14ac:dyDescent="0.25">
      <c r="A1" s="335" t="s">
        <v>322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260"/>
      <c r="M1" s="260"/>
      <c r="N1" s="260"/>
      <c r="O1" s="260"/>
      <c r="P1" s="260"/>
      <c r="Q1" s="260"/>
      <c r="R1" s="260"/>
      <c r="S1" s="260"/>
      <c r="T1" s="260"/>
    </row>
    <row r="2" ht="24.6" customHeight="1" spans="1:20" s="207" customFormat="1" x14ac:dyDescent="0.25">
      <c r="A2" s="337" t="s">
        <v>323</v>
      </c>
      <c r="B2" s="338" t="s">
        <v>324</v>
      </c>
      <c r="C2" s="339" t="s">
        <v>325</v>
      </c>
      <c r="D2" s="340" t="s">
        <v>326</v>
      </c>
      <c r="E2" s="341" t="s">
        <v>327</v>
      </c>
      <c r="F2" s="342" t="s">
        <v>328</v>
      </c>
      <c r="G2" s="341" t="s">
        <v>329</v>
      </c>
      <c r="H2" s="342" t="s">
        <v>330</v>
      </c>
      <c r="I2" s="341" t="s">
        <v>11</v>
      </c>
      <c r="J2" s="342" t="s">
        <v>331</v>
      </c>
      <c r="K2" s="341" t="s">
        <v>332</v>
      </c>
      <c r="L2" s="207"/>
      <c r="M2" s="207"/>
      <c r="N2" s="207"/>
      <c r="O2" s="207"/>
      <c r="P2" s="207"/>
      <c r="Q2" s="207"/>
      <c r="R2" s="207"/>
      <c r="S2" s="207"/>
      <c r="T2" s="207"/>
    </row>
    <row r="3" ht="20.25" customHeight="1" spans="1:20" x14ac:dyDescent="0.25">
      <c r="A3" s="343">
        <v>1</v>
      </c>
      <c r="B3" s="344" t="s">
        <v>333</v>
      </c>
      <c r="C3" s="345" t="s">
        <v>334</v>
      </c>
      <c r="D3" s="346" t="s">
        <v>335</v>
      </c>
      <c r="E3" s="347">
        <v>405000</v>
      </c>
      <c r="F3" s="348">
        <v>300800</v>
      </c>
      <c r="G3" s="349">
        <f>F3/E3</f>
        <v>0.7427160493827161</v>
      </c>
      <c r="H3" s="349" t="str">
        <f>IF(D3="New", "Yes", IF(G3&gt;=0.4, "Yes", "No"))</f>
        <v>Yes</v>
      </c>
      <c r="I3" s="350" t="str">
        <f>IF(D3="New", IF(G3&gt;=0.4, "100%", ""), IF(G3&gt;=0.6, "100%", IF(G3&gt;=0.5, "50%", "")))</f>
        <v>100%</v>
      </c>
      <c r="J3" s="350">
        <f>IF(G3&gt;=1, "1+1.5", IF(G3&gt;=0.8, "1", ""))</f>
      </c>
      <c r="K3" s="351"/>
    </row>
    <row r="4" ht="18" customHeight="1" spans="1:20" x14ac:dyDescent="0.25">
      <c r="A4" s="352">
        <v>2</v>
      </c>
      <c r="B4" s="353" t="s">
        <v>336</v>
      </c>
      <c r="C4" s="345" t="s">
        <v>337</v>
      </c>
      <c r="D4" s="346" t="s">
        <v>335</v>
      </c>
      <c r="E4" s="347">
        <v>405000</v>
      </c>
      <c r="F4" s="348">
        <v>324981</v>
      </c>
      <c r="G4" s="349">
        <f>F4/E4</f>
        <v>0.8024222222222223</v>
      </c>
      <c r="H4" s="349" t="str">
        <f>IF(D4="New", "Yes", IF(G4&gt;=0.4, "Yes", "No"))</f>
        <v>Yes</v>
      </c>
      <c r="I4" s="350" t="str">
        <f>IF(D4="New", IF(G4&gt;=0.4, "100%", ""), IF(G4&gt;=0.6, "100%", IF(G4&gt;=0.5, "50%", "")))</f>
        <v>100%</v>
      </c>
      <c r="J4" s="350" t="str">
        <f>IF(G4&gt;=1, "1+1.5", IF(G4&gt;=0.8, "1", ""))</f>
        <v>1</v>
      </c>
      <c r="K4" s="354">
        <f>F4*0.01</f>
        <v>3249.81</v>
      </c>
    </row>
    <row r="5" ht="18" customHeight="1" spans="1:20" x14ac:dyDescent="0.25">
      <c r="A5" s="343">
        <v>3</v>
      </c>
      <c r="B5" s="344" t="s">
        <v>338</v>
      </c>
      <c r="C5" s="345" t="s">
        <v>339</v>
      </c>
      <c r="D5" s="346" t="s">
        <v>335</v>
      </c>
      <c r="E5" s="347">
        <v>405000</v>
      </c>
      <c r="F5" s="348">
        <v>303366</v>
      </c>
      <c r="G5" s="349">
        <f>F5/E5</f>
        <v>0.7490518518518519</v>
      </c>
      <c r="H5" s="349" t="str">
        <f>IF(D5="New", "Yes", IF(G5&gt;=0.4, "Yes", "No"))</f>
        <v>Yes</v>
      </c>
      <c r="I5" s="350" t="str">
        <f>IF(D5="New", IF(G5&gt;=0.4, "100%", ""), IF(G5&gt;=0.6, "100%", IF(G5&gt;=0.5, "50%", "")))</f>
        <v>100%</v>
      </c>
      <c r="J5" s="350">
        <f>IF(G5&gt;=1, "1+1.5", IF(G5&gt;=0.8, "1", ""))</f>
      </c>
      <c r="K5" s="354"/>
    </row>
    <row r="6" ht="18" customHeight="1" spans="1:20" x14ac:dyDescent="0.25">
      <c r="A6" s="352">
        <v>4</v>
      </c>
      <c r="B6" s="355" t="s">
        <v>221</v>
      </c>
      <c r="C6" s="345" t="s">
        <v>340</v>
      </c>
      <c r="D6" s="346" t="s">
        <v>335</v>
      </c>
      <c r="E6" s="347">
        <v>405000</v>
      </c>
      <c r="F6" s="348">
        <v>705700</v>
      </c>
      <c r="G6" s="349">
        <f>F6/E6</f>
        <v>1.742469135802469</v>
      </c>
      <c r="H6" s="349" t="str">
        <f>IF(D6="New", "Yes", IF(G6&gt;=0.4, "Yes", "No"))</f>
        <v>Yes</v>
      </c>
      <c r="I6" s="350" t="str">
        <f>IF(D6="New", IF(G6&gt;=0.4, "100%", ""), IF(G6&gt;=0.6, "100%", IF(G6&gt;=0.5, "50%", "")))</f>
        <v>100%</v>
      </c>
      <c r="J6" s="350" t="str">
        <f>IF(G6&gt;=1, "1+1.5", IF(G6&gt;=0.8, "1", ""))</f>
        <v>1+1.5</v>
      </c>
      <c r="K6" s="354">
        <f>(E6*0.01)+(F6-E6)*0.015</f>
        <v>8560.5</v>
      </c>
    </row>
  </sheetData>
  <mergeCells count="1">
    <mergeCell ref="A1:K1"/>
  </mergeCells>
  <conditionalFormatting sqref="D3:D6">
    <cfRule type="containsText" dxfId="0" priority="12">
      <formula>NOT(ISERROR(SEARCH("New",D3)))</formula>
    </cfRule>
  </conditionalFormatting>
  <conditionalFormatting sqref="G3:G6">
    <cfRule type="cellIs" dxfId="1" priority="2" operator="greaterThanOrEqual">
      <formula>1</formula>
    </cfRule>
    <cfRule type="cellIs" dxfId="2" priority="3" operator="between">
      <formula>0.6</formula>
      <formula>0.79</formula>
    </cfRule>
    <cfRule type="cellIs" dxfId="3" priority="4" operator="between">
      <formula>0.8</formula>
      <formula>0.99</formula>
    </cfRule>
    <cfRule type="cellIs" dxfId="4" priority="5" operator="lessThanOrEqual">
      <formula>0.59</formula>
    </cfRule>
  </conditionalFormatting>
  <conditionalFormatting sqref="H3:H6">
    <cfRule type="containsText" dxfId="5" priority="1">
      <formula>NOT(ISERROR(SEARCH("YES",H3)))</formula>
    </cfRule>
  </conditionalFormatting>
  <dataValidations count="1">
    <dataValidation type="list" allowBlank="1" showInputMessage="1" showErrorMessage="1" sqref="D3:D6">
      <formula1>"New, Old"</formula1>
    </dataValidation>
  </dataValidations>
  <pageMargins left="0" right="0" top="0.38" bottom="0.33" header="0.3" footer="0.3"/>
  <pageSetup paperSize="9" orientation="landscape" horizontalDpi="360" verticalDpi="360" scale="65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workbookViewId="0" zoomScale="130" zoomScaleNormal="130">
      <selection activeCell="H14" sqref="H14"/>
    </sheetView>
  </sheetViews>
  <sheetFormatPr defaultRowHeight="13.8" outlineLevelRow="0" outlineLevelCol="0" x14ac:dyDescent="0.25" defaultColWidth="9.33203125" customHeight="1"/>
  <cols>
    <col min="1" max="1" width="5.6640625" style="356" customWidth="1"/>
    <col min="2" max="2" width="20.6640625" style="357" customWidth="1"/>
    <col min="3" max="3" width="13.44140625" style="357" customWidth="1"/>
    <col min="4" max="4" width="10.44140625" style="357" customWidth="1"/>
    <col min="5" max="6" width="13" style="357" customWidth="1"/>
    <col min="7" max="7" width="14.33203125" style="357" customWidth="1"/>
    <col min="8" max="8" width="12.5546875" style="357" customWidth="1"/>
    <col min="9" max="9" width="11.6640625" style="357" customWidth="1"/>
    <col min="10" max="10" width="11.5546875" style="357" customWidth="1"/>
    <col min="11" max="16384" width="9.33203125" style="357" customWidth="1"/>
  </cols>
  <sheetData>
    <row r="1" spans="1:20" x14ac:dyDescent="0.25">
      <c r="A1" s="356"/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</row>
    <row r="2" spans="1:20" x14ac:dyDescent="0.25">
      <c r="A2" s="356"/>
      <c r="B2" s="357"/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357"/>
      <c r="O2" s="357"/>
      <c r="P2" s="357"/>
      <c r="Q2" s="357"/>
      <c r="R2" s="357"/>
      <c r="S2" s="357"/>
      <c r="T2" s="357"/>
    </row>
    <row r="3" ht="20.4" customHeight="1" spans="1:20" x14ac:dyDescent="0.25">
      <c r="A3" s="358" t="s">
        <v>341</v>
      </c>
      <c r="B3" s="358"/>
      <c r="C3" s="358"/>
      <c r="D3" s="358"/>
      <c r="E3" s="358"/>
      <c r="F3" s="358"/>
      <c r="G3" s="358"/>
      <c r="H3" s="358"/>
      <c r="I3" s="358"/>
      <c r="J3" s="357"/>
      <c r="K3" s="357"/>
      <c r="L3" s="357"/>
      <c r="M3" s="357"/>
      <c r="N3" s="357"/>
      <c r="O3" s="357"/>
      <c r="P3" s="357"/>
      <c r="Q3" s="357"/>
      <c r="R3" s="357"/>
      <c r="S3" s="357"/>
      <c r="T3" s="357"/>
    </row>
    <row r="4" ht="27" customHeight="1" spans="1:20" x14ac:dyDescent="0.25">
      <c r="A4" s="359" t="s">
        <v>342</v>
      </c>
      <c r="B4" s="360" t="s">
        <v>343</v>
      </c>
      <c r="C4" s="360" t="s">
        <v>344</v>
      </c>
      <c r="D4" s="360" t="s">
        <v>345</v>
      </c>
      <c r="E4" s="360" t="s">
        <v>346</v>
      </c>
      <c r="F4" s="360" t="s">
        <v>347</v>
      </c>
      <c r="G4" s="360" t="s">
        <v>348</v>
      </c>
      <c r="H4" s="360" t="s">
        <v>349</v>
      </c>
      <c r="I4" s="359" t="s">
        <v>350</v>
      </c>
      <c r="J4" s="361"/>
      <c r="K4" s="361"/>
      <c r="L4" s="357"/>
      <c r="M4" s="357"/>
      <c r="N4" s="357"/>
      <c r="O4" s="357"/>
      <c r="P4" s="357"/>
      <c r="Q4" s="357"/>
      <c r="R4" s="357"/>
      <c r="S4" s="357"/>
      <c r="T4" s="357"/>
    </row>
    <row r="5" ht="20.1" customHeight="1" spans="1:20" x14ac:dyDescent="0.25">
      <c r="A5" s="362">
        <v>1</v>
      </c>
      <c r="B5" s="363" t="s">
        <v>351</v>
      </c>
      <c r="C5" s="364">
        <v>5084.07</v>
      </c>
      <c r="D5" s="365"/>
      <c r="E5" s="365"/>
      <c r="F5" s="365">
        <f>8*2*5</f>
        <v>80</v>
      </c>
      <c r="G5" s="365">
        <f>8*2.5*2</f>
        <v>40</v>
      </c>
      <c r="H5" s="365">
        <f t="shared" ref="H5:H6" si="0">SUM(D5:G5)</f>
        <v>120</v>
      </c>
      <c r="I5" s="365">
        <f>C5/208*H5</f>
        <v>2933.1173076923073</v>
      </c>
      <c r="J5" s="357"/>
      <c r="K5" s="357"/>
      <c r="L5" s="357"/>
      <c r="M5" s="357"/>
      <c r="N5" s="357"/>
      <c r="O5" s="357"/>
      <c r="P5" s="357"/>
      <c r="Q5" s="357"/>
      <c r="R5" s="357"/>
      <c r="S5" s="357"/>
      <c r="T5" s="357"/>
    </row>
    <row r="6" ht="20.1" customHeight="1" spans="1:20" x14ac:dyDescent="0.25">
      <c r="A6" s="362"/>
      <c r="B6" s="366" t="s">
        <v>275</v>
      </c>
      <c r="C6" s="366"/>
      <c r="D6" s="367"/>
      <c r="E6" s="367"/>
      <c r="F6" s="367"/>
      <c r="G6" s="367"/>
      <c r="H6" s="365">
        <f t="shared" si="0"/>
        <v>0</v>
      </c>
      <c r="I6" s="367">
        <f>SUM(I5)</f>
        <v>2933.1173076923073</v>
      </c>
      <c r="J6" s="357"/>
      <c r="K6" s="357"/>
      <c r="L6" s="357"/>
      <c r="M6" s="357"/>
      <c r="N6" s="357"/>
      <c r="O6" s="357"/>
      <c r="P6" s="357"/>
      <c r="Q6" s="357"/>
      <c r="R6" s="357"/>
      <c r="S6" s="357"/>
      <c r="T6" s="357"/>
    </row>
    <row r="7" spans="1:20" x14ac:dyDescent="0.25">
      <c r="A7" s="356"/>
      <c r="B7" s="357"/>
      <c r="C7" s="357"/>
      <c r="D7" s="357"/>
      <c r="E7" s="357"/>
      <c r="F7" s="357"/>
      <c r="G7" s="357"/>
      <c r="H7" s="357"/>
      <c r="I7" s="357"/>
      <c r="J7" s="357"/>
      <c r="K7" s="357"/>
      <c r="L7" s="357"/>
      <c r="M7" s="357"/>
      <c r="N7" s="357"/>
      <c r="O7" s="357"/>
      <c r="P7" s="357"/>
      <c r="Q7" s="357"/>
      <c r="R7" s="357"/>
      <c r="S7" s="357"/>
      <c r="T7" s="357"/>
    </row>
    <row r="8" spans="1:20" x14ac:dyDescent="0.25">
      <c r="A8" s="356"/>
      <c r="B8" s="357"/>
      <c r="C8" s="357"/>
      <c r="D8" s="357"/>
      <c r="E8" s="357"/>
      <c r="F8" s="357"/>
      <c r="G8" s="357"/>
      <c r="H8" s="368"/>
      <c r="I8" s="357"/>
      <c r="J8" s="357"/>
      <c r="K8" s="357"/>
      <c r="L8" s="357"/>
      <c r="M8" s="357"/>
      <c r="N8" s="357"/>
      <c r="O8" s="357"/>
      <c r="P8" s="357"/>
      <c r="Q8" s="357"/>
      <c r="R8" s="357"/>
      <c r="S8" s="357"/>
      <c r="T8" s="357"/>
    </row>
    <row r="9" spans="1:20" x14ac:dyDescent="0.25">
      <c r="A9" s="356"/>
      <c r="B9" s="357"/>
      <c r="C9" s="357"/>
      <c r="D9" s="357"/>
      <c r="E9" s="357"/>
      <c r="F9" s="357"/>
      <c r="G9" s="357"/>
      <c r="H9" s="368"/>
      <c r="I9" s="357"/>
      <c r="J9" s="357"/>
      <c r="K9" s="357"/>
      <c r="L9" s="357"/>
      <c r="M9" s="357"/>
      <c r="N9" s="357"/>
      <c r="O9" s="357"/>
      <c r="P9" s="357"/>
      <c r="Q9" s="357"/>
      <c r="R9" s="357"/>
      <c r="S9" s="357"/>
      <c r="T9" s="357"/>
    </row>
    <row r="10" spans="1:20" x14ac:dyDescent="0.25">
      <c r="A10" s="356"/>
      <c r="B10" s="357"/>
      <c r="C10" s="357"/>
      <c r="D10" s="357"/>
      <c r="E10" s="357"/>
      <c r="F10" s="357"/>
      <c r="G10" s="357"/>
      <c r="H10" s="357"/>
      <c r="I10" s="357"/>
      <c r="J10" s="357"/>
      <c r="K10" s="357"/>
      <c r="L10" s="357"/>
      <c r="M10" s="357"/>
      <c r="N10" s="357"/>
      <c r="O10" s="357"/>
      <c r="P10" s="357"/>
      <c r="Q10" s="357"/>
      <c r="R10" s="357"/>
      <c r="S10" s="357"/>
      <c r="T10" s="357"/>
    </row>
    <row r="11" spans="1:20" x14ac:dyDescent="0.25">
      <c r="A11" s="356"/>
      <c r="B11" s="357"/>
      <c r="C11" s="357"/>
      <c r="D11" s="357"/>
      <c r="E11" s="357"/>
      <c r="F11" s="357"/>
      <c r="G11" s="357"/>
      <c r="H11" s="357"/>
      <c r="I11" s="357"/>
      <c r="J11" s="357"/>
      <c r="K11" s="357"/>
      <c r="L11" s="357"/>
      <c r="M11" s="357"/>
      <c r="N11" s="357"/>
      <c r="O11" s="357"/>
      <c r="P11" s="357"/>
      <c r="Q11" s="357"/>
      <c r="R11" s="357"/>
      <c r="S11" s="357"/>
      <c r="T11" s="357"/>
    </row>
    <row r="12" spans="1:20" x14ac:dyDescent="0.25">
      <c r="A12" s="356"/>
      <c r="B12" s="357"/>
      <c r="C12" s="357"/>
      <c r="D12" s="357"/>
      <c r="E12" s="357"/>
      <c r="F12" s="357"/>
      <c r="G12" s="357"/>
      <c r="H12" s="357"/>
      <c r="I12" s="357"/>
      <c r="J12" s="357"/>
      <c r="K12" s="357"/>
      <c r="L12" s="357"/>
      <c r="M12" s="357"/>
      <c r="N12" s="357"/>
      <c r="O12" s="357"/>
      <c r="P12" s="357"/>
      <c r="Q12" s="357"/>
      <c r="R12" s="357"/>
      <c r="S12" s="357"/>
      <c r="T12" s="357"/>
    </row>
    <row r="13" spans="1:20" x14ac:dyDescent="0.25">
      <c r="A13" s="356"/>
      <c r="B13" s="357"/>
      <c r="C13" s="357"/>
      <c r="D13" s="357"/>
      <c r="E13" s="357"/>
      <c r="F13" s="357"/>
      <c r="G13" s="357"/>
      <c r="H13" s="357"/>
      <c r="I13" s="368"/>
      <c r="J13" s="357"/>
      <c r="K13" s="357"/>
      <c r="L13" s="357"/>
      <c r="M13" s="357"/>
      <c r="N13" s="357"/>
      <c r="O13" s="357"/>
      <c r="P13" s="357"/>
      <c r="Q13" s="357"/>
      <c r="R13" s="357"/>
      <c r="S13" s="357"/>
      <c r="T13" s="357"/>
    </row>
  </sheetData>
  <mergeCells count="1">
    <mergeCell ref="A3:I3"/>
  </mergeCells>
  <pageMargins left="0.7" right="0.7" top="0.75" bottom="0.75" header="0.3" footer="0.3"/>
  <pageSetup orientation="portrait" horizontalDpi="360" verticalDpi="360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 zoomScale="56" zoomScaleNormal="40">
      <selection activeCell="E27" sqref="E27"/>
    </sheetView>
  </sheetViews>
  <sheetFormatPr defaultRowHeight="14.4" outlineLevelRow="0" outlineLevelCol="0" x14ac:dyDescent="0.3" customHeight="1"/>
  <cols>
    <col min="1" max="1" width="9.44140625" customWidth="1"/>
    <col min="2" max="2" width="32.6640625" customWidth="1"/>
    <col min="3" max="3" width="23.44140625" customWidth="1"/>
    <col min="4" max="4" width="23.33203125" customWidth="1"/>
    <col min="5" max="5" width="17.21875" customWidth="1"/>
    <col min="6" max="6" width="19.6640625" customWidth="1"/>
    <col min="7" max="8" width="20.6640625" customWidth="1"/>
    <col min="9" max="9" width="19.33203125" customWidth="1"/>
    <col min="10" max="10" width="21.33203125" customWidth="1"/>
    <col min="11" max="11" width="19.88671875" customWidth="1"/>
    <col min="12" max="12" width="18.109375" customWidth="1"/>
    <col min="13" max="14" width="17.5546875" customWidth="1"/>
    <col min="15" max="15" width="17" customWidth="1"/>
    <col min="16" max="16" width="18.44140625" customWidth="1"/>
    <col min="17" max="17" width="17.6640625" customWidth="1"/>
    <col min="18" max="18" width="20.6640625" customWidth="1"/>
    <col min="19" max="19" width="21.6640625" customWidth="1"/>
    <col min="20" max="20" width="27.44140625" customWidth="1"/>
  </cols>
  <sheetData>
    <row r="1" ht="34.8" customHeight="1" spans="1:20" x14ac:dyDescent="0.25">
      <c r="A1" s="250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</row>
    <row r="2" ht="34.8" customHeight="1" spans="1:20" x14ac:dyDescent="0.25">
      <c r="A2" s="251" t="s">
        <v>295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</row>
    <row r="3" ht="34.8" customHeight="1" spans="1:20" x14ac:dyDescent="0.25">
      <c r="A3" s="205" t="s">
        <v>181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</row>
    <row r="4" ht="24.6" customHeight="1" spans="1:20" x14ac:dyDescent="0.25">
      <c r="A4" s="252"/>
      <c r="B4" s="252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</row>
    <row r="5" ht="73.8" customHeight="1" spans="1:20" x14ac:dyDescent="0.25">
      <c r="A5" s="212" t="s">
        <v>3</v>
      </c>
      <c r="B5" s="209" t="s">
        <v>4</v>
      </c>
      <c r="C5" s="209" t="s">
        <v>5</v>
      </c>
      <c r="D5" s="210" t="s">
        <v>277</v>
      </c>
      <c r="E5" s="210" t="s">
        <v>7</v>
      </c>
      <c r="F5" s="211" t="s">
        <v>8</v>
      </c>
      <c r="G5" s="211" t="s">
        <v>9</v>
      </c>
      <c r="H5" s="213" t="s">
        <v>10</v>
      </c>
      <c r="I5" s="208" t="s">
        <v>11</v>
      </c>
      <c r="J5" s="209" t="s">
        <v>12</v>
      </c>
      <c r="K5" s="209" t="s">
        <v>13</v>
      </c>
      <c r="L5" s="209" t="s">
        <v>14</v>
      </c>
      <c r="M5" s="213" t="s">
        <v>15</v>
      </c>
      <c r="N5" s="209" t="s">
        <v>16</v>
      </c>
      <c r="O5" s="209" t="s">
        <v>17</v>
      </c>
      <c r="P5" s="209" t="s">
        <v>18</v>
      </c>
      <c r="Q5" s="214" t="s">
        <v>19</v>
      </c>
      <c r="R5" s="274" t="s">
        <v>20</v>
      </c>
      <c r="S5" s="208" t="s">
        <v>21</v>
      </c>
    </row>
    <row r="6" ht="25.2" customHeight="1" spans="1:20" x14ac:dyDescent="0.25">
      <c r="A6" s="225">
        <v>1</v>
      </c>
      <c r="B6" s="230" t="s">
        <v>296</v>
      </c>
      <c r="C6" s="225" t="s">
        <v>28</v>
      </c>
      <c r="D6" s="225" t="s">
        <v>213</v>
      </c>
      <c r="E6" s="225">
        <v>12</v>
      </c>
      <c r="F6" s="231">
        <v>6164.38</v>
      </c>
      <c r="G6" s="220">
        <f>+F6/30*E6</f>
        <v>2465.752</v>
      </c>
      <c r="H6" s="232"/>
      <c r="I6" s="233">
        <v>3952.06</v>
      </c>
      <c r="J6" s="227">
        <f>G6+H6+I6</f>
        <v>6417.812</v>
      </c>
      <c r="K6" s="234">
        <f>G6+H6+I6</f>
        <v>6417.812</v>
      </c>
      <c r="L6" s="232">
        <f>IF(K6&lt;=2000,(0),IF(K6&lt;=4000,(K6*0.15)-300,IF(K6&lt;=7000,(K6*0.2)-500,IF(K6&lt;=10000,(K6*0.25)-850,IF(K6&lt;=14000,(K6*0.3)-1350,IF(K6&gt;14000,(K6*0.35)-2050))))))</f>
        <v>783.5624</v>
      </c>
      <c r="M6" s="234">
        <f>F6*0.07</f>
        <v>431.50660000000005</v>
      </c>
      <c r="N6" s="234">
        <f>G6*0.11</f>
        <v>271.23272</v>
      </c>
      <c r="O6" s="227"/>
      <c r="P6" s="232">
        <f>L6+M6+O6</f>
        <v>1215.069</v>
      </c>
      <c r="Q6" s="233">
        <v>1000</v>
      </c>
      <c r="R6" s="232">
        <f>J6-P6+Q6</f>
        <v>6202.743</v>
      </c>
      <c r="S6" s="232"/>
      <c r="T6" s="137"/>
    </row>
    <row r="7" ht="25.2" customHeight="1" spans="1:20" x14ac:dyDescent="0.25">
      <c r="A7" s="225">
        <v>2</v>
      </c>
      <c r="B7" s="230" t="s">
        <v>297</v>
      </c>
      <c r="C7" s="225" t="s">
        <v>28</v>
      </c>
      <c r="D7" s="225" t="s">
        <v>213</v>
      </c>
      <c r="E7" s="275">
        <v>18</v>
      </c>
      <c r="F7" s="231">
        <v>6164.38</v>
      </c>
      <c r="G7" s="220">
        <f>+F7/30*E7</f>
        <v>3698.6279999999997</v>
      </c>
      <c r="H7" s="232"/>
      <c r="I7" s="233">
        <v>3952.06</v>
      </c>
      <c r="J7" s="227">
        <f>G7+H7+I7</f>
        <v>7650.688</v>
      </c>
      <c r="K7" s="234">
        <f>G7+H7+I7</f>
        <v>7650.688</v>
      </c>
      <c r="L7" s="232">
        <f>IF(K7&lt;=2000,(0),IF(K7&lt;=4000,(K7*0.15)-300,IF(K7&lt;=7000,(K7*0.2)-500,IF(K7&lt;=10000,(K7*0.25)-850,IF(K7&lt;=14000,(K7*0.3)-1350,IF(K7&gt;14000,(K7*0.35)-2050))))))</f>
        <v>1062.672</v>
      </c>
      <c r="M7" s="234">
        <f>F7*0.07</f>
        <v>431.50660000000005</v>
      </c>
      <c r="N7" s="234">
        <f>G7*0.11</f>
        <v>406.84907999999996</v>
      </c>
      <c r="O7" s="227"/>
      <c r="P7" s="232">
        <f>L7+M7+O7</f>
        <v>1494.1786000000002</v>
      </c>
      <c r="Q7" s="233">
        <v>1000</v>
      </c>
      <c r="R7" s="232">
        <f>J7-P7+Q7</f>
        <v>7156.5094</v>
      </c>
      <c r="S7" s="232"/>
      <c r="T7" s="137"/>
    </row>
    <row r="8" ht="35.4" customHeight="1" spans="1:20" s="207" customFormat="1" x14ac:dyDescent="0.25">
      <c r="A8" s="276" t="s">
        <v>170</v>
      </c>
      <c r="B8" s="277"/>
      <c r="C8" s="277"/>
      <c r="D8" s="277"/>
      <c r="E8" s="278"/>
      <c r="F8" s="279">
        <f>SUM(F6:F7)</f>
        <v>12328.76</v>
      </c>
      <c r="G8" s="279">
        <f t="shared" ref="G8:R8" si="0">SUM(G6:G7)</f>
        <v>6164.379999999999</v>
      </c>
      <c r="H8" s="279">
        <f t="shared" si="0"/>
        <v>0</v>
      </c>
      <c r="I8" s="279">
        <f t="shared" si="0"/>
        <v>7904.12</v>
      </c>
      <c r="J8" s="279">
        <f t="shared" si="0"/>
        <v>14068.5</v>
      </c>
      <c r="K8" s="279">
        <f t="shared" si="0"/>
        <v>14068.5</v>
      </c>
      <c r="L8" s="279">
        <f t="shared" si="0"/>
        <v>1846.2344</v>
      </c>
      <c r="M8" s="279">
        <f t="shared" si="0"/>
        <v>863.0132000000001</v>
      </c>
      <c r="N8" s="279">
        <f t="shared" si="0"/>
        <v>678.0817999999999</v>
      </c>
      <c r="O8" s="279">
        <f t="shared" si="0"/>
        <v>0</v>
      </c>
      <c r="P8" s="279">
        <f t="shared" si="0"/>
        <v>2709.2476</v>
      </c>
      <c r="Q8" s="279">
        <f t="shared" si="0"/>
        <v>2000</v>
      </c>
      <c r="R8" s="279">
        <f t="shared" si="0"/>
        <v>13359.252400000001</v>
      </c>
      <c r="S8" s="231"/>
      <c r="T8" s="207"/>
    </row>
    <row r="9" ht="35.4" customHeight="1" spans="1:20" s="207" customFormat="1" x14ac:dyDescent="0.25">
      <c r="A9" s="280"/>
      <c r="B9" s="280"/>
      <c r="C9" s="280"/>
      <c r="D9" s="280"/>
      <c r="E9" s="280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1"/>
      <c r="R9" s="281"/>
      <c r="S9" s="269"/>
      <c r="T9" s="207"/>
    </row>
    <row r="10" spans="1:20" x14ac:dyDescent="0.25">
      <c r="A10" s="237"/>
      <c r="B10" s="238"/>
      <c r="C10" s="238"/>
      <c r="D10" s="239"/>
      <c r="E10" s="239"/>
      <c r="F10" s="238"/>
      <c r="G10" s="238"/>
      <c r="H10" s="238"/>
      <c r="I10" s="238"/>
      <c r="J10" s="240"/>
      <c r="K10" s="238"/>
      <c r="L10" s="238"/>
      <c r="M10" s="238"/>
      <c r="N10" s="238"/>
      <c r="O10" s="238"/>
      <c r="P10" s="238"/>
      <c r="Q10" s="238"/>
      <c r="R10" s="238"/>
      <c r="S10" s="238"/>
    </row>
    <row r="11" ht="25.2" customHeight="1" spans="1:20" x14ac:dyDescent="0.25">
      <c r="A11" s="241" t="s">
        <v>171</v>
      </c>
      <c r="B11" s="241"/>
      <c r="C11" s="241"/>
      <c r="D11" s="241"/>
      <c r="E11" s="242"/>
      <c r="F11" s="243"/>
      <c r="G11" s="241" t="s">
        <v>172</v>
      </c>
      <c r="H11" s="241"/>
      <c r="I11" s="241"/>
      <c r="J11" s="244"/>
      <c r="K11" s="244"/>
      <c r="L11" s="244"/>
      <c r="M11" s="241" t="s">
        <v>173</v>
      </c>
      <c r="N11" s="241"/>
      <c r="O11" s="241"/>
      <c r="P11" s="241"/>
      <c r="Q11" s="241"/>
      <c r="R11" s="245"/>
      <c r="S11" s="243"/>
    </row>
    <row r="12" ht="25.8" customHeight="1" spans="1:20" x14ac:dyDescent="0.25">
      <c r="A12" s="246" t="s">
        <v>174</v>
      </c>
      <c r="B12" s="243"/>
      <c r="C12" s="243"/>
      <c r="D12" s="247"/>
      <c r="E12" s="247"/>
      <c r="F12" s="243"/>
      <c r="G12" s="248" t="s">
        <v>175</v>
      </c>
      <c r="H12" s="243"/>
      <c r="I12" s="243"/>
      <c r="J12" s="249"/>
      <c r="K12" s="244"/>
      <c r="L12" s="244"/>
      <c r="M12" s="248" t="s">
        <v>175</v>
      </c>
      <c r="N12" s="248"/>
      <c r="O12" s="248"/>
      <c r="P12" s="243"/>
      <c r="Q12" s="243"/>
      <c r="R12" s="244"/>
      <c r="S12" s="243"/>
    </row>
    <row r="13" ht="25.8" customHeight="1" spans="1:20" x14ac:dyDescent="0.25">
      <c r="A13" s="246" t="s">
        <v>176</v>
      </c>
      <c r="B13" s="243"/>
      <c r="C13" s="243"/>
      <c r="D13" s="247"/>
      <c r="E13" s="247"/>
      <c r="F13" s="243"/>
      <c r="G13" s="248" t="s">
        <v>177</v>
      </c>
      <c r="H13" s="243"/>
      <c r="I13" s="243"/>
      <c r="J13" s="249"/>
      <c r="K13" s="244"/>
      <c r="L13" s="244"/>
      <c r="M13" s="248" t="s">
        <v>177</v>
      </c>
      <c r="N13" s="248"/>
      <c r="O13" s="248"/>
      <c r="P13" s="243"/>
      <c r="Q13" s="243"/>
      <c r="R13" s="244"/>
      <c r="S13" s="243"/>
    </row>
    <row r="14" ht="25.2" customHeight="1" spans="1:20" x14ac:dyDescent="0.25">
      <c r="A14" s="246" t="s">
        <v>178</v>
      </c>
      <c r="B14" s="243"/>
      <c r="C14" s="243"/>
      <c r="D14" s="247"/>
      <c r="E14" s="247"/>
      <c r="F14" s="243"/>
      <c r="G14" s="248" t="s">
        <v>179</v>
      </c>
      <c r="H14" s="243"/>
      <c r="I14" s="244"/>
      <c r="J14" s="244"/>
      <c r="K14" s="243"/>
      <c r="L14" s="243"/>
      <c r="M14" s="248" t="s">
        <v>179</v>
      </c>
      <c r="N14" s="248"/>
      <c r="O14" s="248"/>
      <c r="P14" s="243"/>
      <c r="Q14" s="244"/>
      <c r="R14" s="243"/>
      <c r="S14" s="243"/>
    </row>
    <row r="15" spans="1:20" x14ac:dyDescent="0.25">
      <c r="A15" s="237"/>
      <c r="B15" s="238"/>
      <c r="C15" s="238"/>
      <c r="D15" s="239"/>
      <c r="E15" s="239"/>
      <c r="F15" s="265"/>
      <c r="G15" s="238"/>
      <c r="H15" s="238"/>
      <c r="I15" s="238"/>
      <c r="J15" s="238"/>
      <c r="K15" s="238"/>
      <c r="L15" s="238"/>
      <c r="M15" s="238"/>
      <c r="N15" s="238"/>
      <c r="O15" s="238"/>
      <c r="P15" s="238"/>
      <c r="Q15" s="238"/>
      <c r="R15" s="238"/>
      <c r="S15" s="238"/>
    </row>
  </sheetData>
  <autoFilter ref="A5:S5"/>
  <mergeCells count="8">
    <mergeCell ref="A1:S1"/>
    <mergeCell ref="A2:S2"/>
    <mergeCell ref="A3:S3"/>
    <mergeCell ref="A4:S4"/>
    <mergeCell ref="A8:E8"/>
    <mergeCell ref="A11:B11"/>
    <mergeCell ref="G11:H11"/>
    <mergeCell ref="M11:P1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T69"/>
  <sheetViews>
    <sheetView workbookViewId="0" zoomScale="73" zoomScaleNormal="77">
      <selection activeCell="I4" sqref="I4"/>
    </sheetView>
  </sheetViews>
  <sheetFormatPr defaultRowHeight="13.2" outlineLevelRow="0" outlineLevelCol="0" x14ac:dyDescent="0.25" defaultColWidth="13.33203125" customHeight="1"/>
  <cols>
    <col min="1" max="1" width="5.33203125" style="83" customWidth="1"/>
    <col min="2" max="2" width="22.88671875" style="83" customWidth="1"/>
    <col min="3" max="3" width="16.88671875" style="83" customWidth="1"/>
    <col min="4" max="4" width="13.33203125" style="84" customWidth="1"/>
    <col min="5" max="5" width="10.88671875" style="83" customWidth="1"/>
    <col min="6" max="7" width="16.33203125" style="83" customWidth="1"/>
    <col min="8" max="8" width="13.44140625" style="83" customWidth="1"/>
    <col min="9" max="9" width="14.6640625" style="83" customWidth="1"/>
    <col min="10" max="11" width="16.33203125" style="83" customWidth="1"/>
    <col min="12" max="12" width="14.6640625" style="83" customWidth="1"/>
    <col min="13" max="13" width="13.44140625" style="83" customWidth="1"/>
    <col min="14" max="14" width="14.6640625" style="83" customWidth="1"/>
    <col min="15" max="15" width="13.44140625" style="83" customWidth="1"/>
    <col min="16" max="17" width="14.6640625" style="83" customWidth="1"/>
    <col min="18" max="18" width="16.33203125" style="83" customWidth="1"/>
    <col min="19" max="19" width="17.44140625" style="83" customWidth="1"/>
    <col min="20" max="16384" width="13.33203125" style="85" customWidth="1"/>
  </cols>
  <sheetData>
    <row r="1" ht="24" customHeight="1" spans="1:20" x14ac:dyDescent="0.25">
      <c r="A1" s="154" t="s">
        <v>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85"/>
    </row>
    <row r="2" ht="18" customHeight="1" spans="1:20" x14ac:dyDescent="0.25">
      <c r="A2" s="155" t="s">
        <v>228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85"/>
    </row>
    <row r="3" ht="18.45" customHeight="1" spans="1:20" x14ac:dyDescent="0.25">
      <c r="A3" s="155" t="s">
        <v>2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85"/>
    </row>
    <row r="4" ht="19.95" customHeight="1" spans="1:20" s="156" customFormat="1" x14ac:dyDescent="0.25">
      <c r="A4" s="157" t="s">
        <v>3</v>
      </c>
      <c r="B4" s="158" t="s">
        <v>4</v>
      </c>
      <c r="C4" s="158" t="s">
        <v>5</v>
      </c>
      <c r="D4" s="158" t="s">
        <v>6</v>
      </c>
      <c r="E4" s="158" t="s">
        <v>7</v>
      </c>
      <c r="F4" s="159" t="s">
        <v>8</v>
      </c>
      <c r="G4" s="159" t="s">
        <v>9</v>
      </c>
      <c r="H4" s="159" t="s">
        <v>10</v>
      </c>
      <c r="I4" s="160" t="s">
        <v>11</v>
      </c>
      <c r="J4" s="158" t="s">
        <v>12</v>
      </c>
      <c r="K4" s="158" t="s">
        <v>13</v>
      </c>
      <c r="L4" s="158" t="s">
        <v>14</v>
      </c>
      <c r="M4" s="159" t="s">
        <v>15</v>
      </c>
      <c r="N4" s="158" t="s">
        <v>16</v>
      </c>
      <c r="O4" s="158" t="s">
        <v>17</v>
      </c>
      <c r="P4" s="158" t="s">
        <v>18</v>
      </c>
      <c r="Q4" s="158" t="s">
        <v>19</v>
      </c>
      <c r="R4" s="161" t="s">
        <v>20</v>
      </c>
      <c r="S4" s="162" t="s">
        <v>21</v>
      </c>
      <c r="T4" s="156"/>
    </row>
    <row r="5" ht="19.95" customHeight="1" spans="1:20" s="156" customFormat="1" x14ac:dyDescent="0.25">
      <c r="A5" s="163"/>
      <c r="B5" s="164"/>
      <c r="C5" s="164"/>
      <c r="D5" s="164"/>
      <c r="E5" s="164"/>
      <c r="F5" s="165"/>
      <c r="G5" s="165"/>
      <c r="H5" s="165"/>
      <c r="I5" s="166"/>
      <c r="J5" s="164"/>
      <c r="K5" s="164"/>
      <c r="L5" s="164"/>
      <c r="M5" s="165"/>
      <c r="N5" s="164"/>
      <c r="O5" s="164"/>
      <c r="P5" s="164"/>
      <c r="Q5" s="164"/>
      <c r="R5" s="167"/>
      <c r="S5" s="168"/>
      <c r="T5" s="156"/>
    </row>
    <row r="6" ht="22.2" customHeight="1" spans="1:20" s="110" customFormat="1" x14ac:dyDescent="0.25">
      <c r="A6" s="169">
        <v>1</v>
      </c>
      <c r="B6" s="170" t="s">
        <v>229</v>
      </c>
      <c r="C6" s="171" t="s">
        <v>230</v>
      </c>
      <c r="D6" s="169" t="s">
        <v>95</v>
      </c>
      <c r="E6" s="172">
        <v>30</v>
      </c>
      <c r="F6" s="173">
        <v>9044.12</v>
      </c>
      <c r="G6" s="173">
        <f t="shared" ref="G6:G45" si="0">+F6/30*E6</f>
        <v>9044.12</v>
      </c>
      <c r="H6" s="174"/>
      <c r="I6" s="175">
        <f>5699.1</f>
        <v>5699.1</v>
      </c>
      <c r="J6" s="176">
        <f t="shared" ref="J6:J45" si="1">G6+H6+I6</f>
        <v>14743.220000000001</v>
      </c>
      <c r="K6" s="177">
        <f t="shared" ref="K6:K45" si="2">G6+H6+I6</f>
        <v>14743.220000000001</v>
      </c>
      <c r="L6" s="178">
        <f t="shared" ref="L6:L45" si="3">IF(K6&lt;=2000,(0),IF(K6&lt;=4000,(K6*0.15)-300,IF(K6&lt;=7000,(K6*0.2)-500,IF(K6&lt;=10000,(K6*0.25)-850,IF(K6&lt;=14000,(K6*0.3)-1350,IF(K6&gt;14000,(K6*0.35)-2050))))))</f>
        <v>3110.1270000000004</v>
      </c>
      <c r="M6" s="177">
        <f>F6*0.07</f>
        <v>633.0884000000001</v>
      </c>
      <c r="N6" s="177">
        <f>F6*0.11</f>
        <v>994.8532000000001</v>
      </c>
      <c r="O6" s="176"/>
      <c r="P6" s="178">
        <f t="shared" ref="P6:P45" si="4">L6+M6+O6</f>
        <v>3743.2154000000005</v>
      </c>
      <c r="Q6" s="175">
        <f>1000+1480</f>
        <v>2480</v>
      </c>
      <c r="R6" s="178">
        <f t="shared" ref="R6:R45" si="5">J6-P6+Q6</f>
        <v>13480.0046</v>
      </c>
      <c r="S6" s="178"/>
      <c r="T6" s="111"/>
    </row>
    <row r="7" ht="22.2" customHeight="1" spans="1:20" s="110" customFormat="1" x14ac:dyDescent="0.25">
      <c r="A7" s="169">
        <v>2</v>
      </c>
      <c r="B7" s="170" t="s">
        <v>231</v>
      </c>
      <c r="C7" s="170" t="s">
        <v>232</v>
      </c>
      <c r="D7" s="169" t="s">
        <v>43</v>
      </c>
      <c r="E7" s="169">
        <v>30</v>
      </c>
      <c r="F7" s="179">
        <v>52500</v>
      </c>
      <c r="G7" s="178">
        <f t="shared" si="0"/>
        <v>52500</v>
      </c>
      <c r="H7" s="178"/>
      <c r="I7" s="180"/>
      <c r="J7" s="176">
        <f t="shared" si="1"/>
        <v>52500</v>
      </c>
      <c r="K7" s="177">
        <f t="shared" si="2"/>
        <v>52500</v>
      </c>
      <c r="L7" s="178">
        <f t="shared" si="3"/>
        <v>16325</v>
      </c>
      <c r="M7" s="177">
        <f>F7*0.07</f>
        <v>3675.0000000000005</v>
      </c>
      <c r="N7" s="177">
        <f>F7*0.11</f>
        <v>5775</v>
      </c>
      <c r="O7" s="176">
        <v>10000</v>
      </c>
      <c r="P7" s="178">
        <f t="shared" si="4"/>
        <v>30000</v>
      </c>
      <c r="Q7" s="181">
        <v>2000</v>
      </c>
      <c r="R7" s="178">
        <f t="shared" si="5"/>
        <v>24500</v>
      </c>
      <c r="S7" s="178"/>
      <c r="T7" s="111"/>
    </row>
    <row r="8" ht="22.2" customHeight="1" spans="1:20" s="110" customFormat="1" x14ac:dyDescent="0.25">
      <c r="A8" s="169">
        <v>3</v>
      </c>
      <c r="B8" s="182" t="s">
        <v>233</v>
      </c>
      <c r="C8" s="170" t="s">
        <v>234</v>
      </c>
      <c r="D8" s="169" t="s">
        <v>235</v>
      </c>
      <c r="E8" s="169">
        <v>15</v>
      </c>
      <c r="F8" s="178">
        <v>7533.33</v>
      </c>
      <c r="G8" s="178">
        <f t="shared" ref="G8" si="6">+F8/30*E8</f>
        <v>3766.665</v>
      </c>
      <c r="H8" s="178"/>
      <c r="I8" s="175">
        <f>2680.95*0</f>
        <v>0</v>
      </c>
      <c r="J8" s="176">
        <f t="shared" ref="J8" si="7">G8+H8+I8</f>
        <v>3766.665</v>
      </c>
      <c r="K8" s="177">
        <f t="shared" ref="K8" si="8">G8+H8+I8</f>
        <v>3766.665</v>
      </c>
      <c r="L8" s="178">
        <f t="shared" ref="L8" si="9">IF(K8&lt;=2000,(0),IF(K8&lt;=4000,(K8*0.15)-300,IF(K8&lt;=7000,(K8*0.2)-500,IF(K8&lt;=10000,(K8*0.25)-850,IF(K8&lt;=14000,(K8*0.3)-1350,IF(K8&gt;14000,(K8*0.35)-2050))))))</f>
        <v>264.99974999999995</v>
      </c>
      <c r="M8" s="177"/>
      <c r="N8" s="177"/>
      <c r="O8" s="176"/>
      <c r="P8" s="178">
        <f t="shared" ref="P8" si="10">L8+M8+O8</f>
        <v>264.99974999999995</v>
      </c>
      <c r="Q8" s="176">
        <f>1000/30*E8</f>
        <v>500.00000000000006</v>
      </c>
      <c r="R8" s="178">
        <f t="shared" ref="R8" si="11">J8-P8+Q8</f>
        <v>4001.66525</v>
      </c>
      <c r="S8" s="178"/>
      <c r="T8" s="111"/>
    </row>
    <row r="9" ht="22.2" customHeight="1" spans="1:20" s="110" customFormat="1" x14ac:dyDescent="0.25">
      <c r="A9" s="169">
        <v>4</v>
      </c>
      <c r="B9" s="170" t="s">
        <v>236</v>
      </c>
      <c r="C9" s="170" t="s">
        <v>237</v>
      </c>
      <c r="D9" s="169" t="s">
        <v>29</v>
      </c>
      <c r="E9" s="169">
        <v>30</v>
      </c>
      <c r="F9" s="173">
        <v>9044.12</v>
      </c>
      <c r="G9" s="178">
        <f t="shared" si="0"/>
        <v>9044.12</v>
      </c>
      <c r="H9" s="178"/>
      <c r="I9" s="175">
        <v>5699.1</v>
      </c>
      <c r="J9" s="176">
        <f t="shared" si="1"/>
        <v>14743.220000000001</v>
      </c>
      <c r="K9" s="177">
        <f t="shared" si="2"/>
        <v>14743.220000000001</v>
      </c>
      <c r="L9" s="178">
        <f t="shared" si="3"/>
        <v>3110.1270000000004</v>
      </c>
      <c r="M9" s="177">
        <f>F9*0.07</f>
        <v>633.0884000000001</v>
      </c>
      <c r="N9" s="177">
        <f>F9*0.11</f>
        <v>994.8532000000001</v>
      </c>
      <c r="O9" s="178"/>
      <c r="P9" s="178">
        <f t="shared" si="4"/>
        <v>3743.2154000000005</v>
      </c>
      <c r="Q9" s="176">
        <f>1000+740</f>
        <v>1740</v>
      </c>
      <c r="R9" s="178">
        <f t="shared" si="5"/>
        <v>12740.0046</v>
      </c>
      <c r="S9" s="178"/>
      <c r="T9" s="111"/>
    </row>
    <row r="10" ht="22.2" customHeight="1" spans="1:20" s="110" customFormat="1" x14ac:dyDescent="0.25">
      <c r="A10" s="169">
        <v>5</v>
      </c>
      <c r="B10" s="170" t="s">
        <v>238</v>
      </c>
      <c r="C10" s="170" t="s">
        <v>234</v>
      </c>
      <c r="D10" s="169" t="s">
        <v>235</v>
      </c>
      <c r="E10" s="169">
        <v>18</v>
      </c>
      <c r="F10" s="178">
        <v>7533.33</v>
      </c>
      <c r="G10" s="178">
        <f t="shared" si="0"/>
        <v>4519.998</v>
      </c>
      <c r="H10" s="183">
        <v>4914.35</v>
      </c>
      <c r="I10" s="175">
        <f>2680.95</f>
        <v>2680.95</v>
      </c>
      <c r="J10" s="176">
        <f t="shared" si="1"/>
        <v>12115.297999999999</v>
      </c>
      <c r="K10" s="177">
        <f t="shared" si="2"/>
        <v>12115.297999999999</v>
      </c>
      <c r="L10" s="178">
        <f t="shared" si="3"/>
        <v>2284.5893999999994</v>
      </c>
      <c r="M10" s="177"/>
      <c r="N10" s="177"/>
      <c r="O10" s="176"/>
      <c r="P10" s="178">
        <f t="shared" si="4"/>
        <v>2284.5893999999994</v>
      </c>
      <c r="Q10" s="176">
        <v>2200</v>
      </c>
      <c r="R10" s="178">
        <f t="shared" si="5"/>
        <v>12030.7086</v>
      </c>
      <c r="S10" s="178">
        <f>5780-2200</f>
        <v>3580</v>
      </c>
      <c r="T10" s="111">
        <f>12030.71</f>
        <v>12030.71</v>
      </c>
    </row>
    <row r="11" ht="22.2" customHeight="1" spans="1:20" s="110" customFormat="1" x14ac:dyDescent="0.25">
      <c r="A11" s="169">
        <v>6</v>
      </c>
      <c r="B11" s="182" t="s">
        <v>239</v>
      </c>
      <c r="C11" s="170" t="s">
        <v>234</v>
      </c>
      <c r="D11" s="169" t="s">
        <v>71</v>
      </c>
      <c r="E11" s="169">
        <v>18</v>
      </c>
      <c r="F11" s="178">
        <v>7533.33</v>
      </c>
      <c r="G11" s="178">
        <f t="shared" ref="G11" si="12">+F11/30*E11</f>
        <v>4519.998</v>
      </c>
      <c r="H11" s="178"/>
      <c r="I11" s="175">
        <f>2680.95*0</f>
        <v>0</v>
      </c>
      <c r="J11" s="176">
        <f t="shared" ref="J11" si="13">G11+H11+I11</f>
        <v>4519.998</v>
      </c>
      <c r="K11" s="177">
        <f t="shared" ref="K11" si="14">G11+H11+I11</f>
        <v>4519.998</v>
      </c>
      <c r="L11" s="178">
        <f t="shared" ref="L11" si="15">IF(K11&lt;=2000,(0),IF(K11&lt;=4000,(K11*0.15)-300,IF(K11&lt;=7000,(K11*0.2)-500,IF(K11&lt;=10000,(K11*0.25)-850,IF(K11&lt;=14000,(K11*0.3)-1350,IF(K11&gt;14000,(K11*0.35)-2050))))))</f>
        <v>403.9996</v>
      </c>
      <c r="M11" s="177"/>
      <c r="N11" s="177"/>
      <c r="O11" s="176"/>
      <c r="P11" s="178">
        <f t="shared" ref="P11" si="16">L11+M11+O11</f>
        <v>403.9996</v>
      </c>
      <c r="Q11" s="176">
        <f>1000/30*E11+740</f>
        <v>1340</v>
      </c>
      <c r="R11" s="178">
        <f t="shared" ref="R11" si="17">J11-P11+Q11</f>
        <v>5455.9983999999995</v>
      </c>
      <c r="S11" s="178"/>
      <c r="T11" s="111"/>
    </row>
    <row r="12" ht="22.2" customHeight="1" spans="1:20" s="110" customFormat="1" x14ac:dyDescent="0.25">
      <c r="A12" s="169">
        <v>7</v>
      </c>
      <c r="B12" s="170" t="s">
        <v>240</v>
      </c>
      <c r="C12" s="170" t="s">
        <v>237</v>
      </c>
      <c r="D12" s="169" t="s">
        <v>235</v>
      </c>
      <c r="E12" s="169">
        <v>30</v>
      </c>
      <c r="F12" s="173">
        <v>9044.12</v>
      </c>
      <c r="G12" s="178">
        <f t="shared" si="0"/>
        <v>9044.12</v>
      </c>
      <c r="H12" s="183">
        <v>5446.15</v>
      </c>
      <c r="I12" s="175">
        <f>5699.1</f>
        <v>5699.1</v>
      </c>
      <c r="J12" s="176">
        <f t="shared" si="1"/>
        <v>20189.370000000003</v>
      </c>
      <c r="K12" s="177">
        <f t="shared" si="2"/>
        <v>20189.370000000003</v>
      </c>
      <c r="L12" s="178">
        <f t="shared" si="3"/>
        <v>5016.279500000001</v>
      </c>
      <c r="M12" s="177"/>
      <c r="N12" s="177"/>
      <c r="O12" s="176"/>
      <c r="P12" s="178">
        <f t="shared" si="4"/>
        <v>5016.279500000001</v>
      </c>
      <c r="Q12" s="176">
        <v>2200</v>
      </c>
      <c r="R12" s="178">
        <f t="shared" si="5"/>
        <v>17373.090500000002</v>
      </c>
      <c r="S12" s="178">
        <f>5740-2200</f>
        <v>3540</v>
      </c>
      <c r="T12" s="111">
        <v>17373.093</v>
      </c>
    </row>
    <row r="13" ht="22.2" customHeight="1" spans="1:20" s="110" customFormat="1" x14ac:dyDescent="0.25">
      <c r="A13" s="169">
        <v>8</v>
      </c>
      <c r="B13" s="182" t="s">
        <v>241</v>
      </c>
      <c r="C13" s="170" t="s">
        <v>234</v>
      </c>
      <c r="D13" s="169" t="s">
        <v>29</v>
      </c>
      <c r="E13" s="169">
        <v>30</v>
      </c>
      <c r="F13" s="178">
        <v>7533.33</v>
      </c>
      <c r="G13" s="178">
        <f t="shared" ref="G13" si="18">+F13/30*E13</f>
        <v>7533.33</v>
      </c>
      <c r="H13" s="178"/>
      <c r="I13" s="175">
        <f>2680.95*0</f>
        <v>0</v>
      </c>
      <c r="J13" s="176">
        <f t="shared" ref="J13" si="19">G13+H13+I13</f>
        <v>7533.33</v>
      </c>
      <c r="K13" s="177">
        <f t="shared" ref="K13" si="20">G13+H13+I13</f>
        <v>7533.33</v>
      </c>
      <c r="L13" s="178">
        <f t="shared" ref="L13" si="21">IF(K13&lt;=2000,(0),IF(K13&lt;=4000,(K13*0.15)-300,IF(K13&lt;=7000,(K13*0.2)-500,IF(K13&lt;=10000,(K13*0.25)-850,IF(K13&lt;=14000,(K13*0.3)-1350,IF(K13&gt;14000,(K13*0.35)-2050))))))</f>
        <v>1033.3325</v>
      </c>
      <c r="M13" s="177"/>
      <c r="N13" s="177"/>
      <c r="O13" s="176"/>
      <c r="P13" s="178">
        <f t="shared" ref="P13" si="22">L13+M13+O13</f>
        <v>1033.3325</v>
      </c>
      <c r="Q13" s="176">
        <f>1000+370</f>
        <v>1370</v>
      </c>
      <c r="R13" s="178">
        <f t="shared" ref="R13" si="23">J13-P13+Q13</f>
        <v>7869.9974999999995</v>
      </c>
      <c r="S13" s="178"/>
      <c r="T13" s="111"/>
    </row>
    <row r="14" ht="22.2" customHeight="1" spans="1:20" s="110" customFormat="1" x14ac:dyDescent="0.25">
      <c r="A14" s="169">
        <v>9</v>
      </c>
      <c r="B14" s="170" t="s">
        <v>242</v>
      </c>
      <c r="C14" s="170" t="s">
        <v>234</v>
      </c>
      <c r="D14" s="169" t="s">
        <v>235</v>
      </c>
      <c r="E14" s="169">
        <v>30</v>
      </c>
      <c r="F14" s="178">
        <v>7533.33</v>
      </c>
      <c r="G14" s="178">
        <f t="shared" si="0"/>
        <v>7533.33</v>
      </c>
      <c r="H14" s="183">
        <v>5831.87</v>
      </c>
      <c r="I14" s="175">
        <f>2680.95</f>
        <v>2680.95</v>
      </c>
      <c r="J14" s="176">
        <f t="shared" si="1"/>
        <v>16046.150000000001</v>
      </c>
      <c r="K14" s="177">
        <f t="shared" si="2"/>
        <v>16046.150000000001</v>
      </c>
      <c r="L14" s="178">
        <f t="shared" si="3"/>
        <v>3566.1525</v>
      </c>
      <c r="M14" s="177"/>
      <c r="N14" s="177"/>
      <c r="O14" s="176"/>
      <c r="P14" s="178">
        <f t="shared" si="4"/>
        <v>3566.1525</v>
      </c>
      <c r="Q14" s="176">
        <v>2200</v>
      </c>
      <c r="R14" s="178">
        <f t="shared" si="5"/>
        <v>14679.997500000001</v>
      </c>
      <c r="S14" s="183">
        <f>6180-2200</f>
        <v>3980</v>
      </c>
      <c r="T14" s="111">
        <v>14679.996</v>
      </c>
    </row>
    <row r="15" ht="22.2" customHeight="1" spans="1:20" s="110" customFormat="1" x14ac:dyDescent="0.25">
      <c r="A15" s="169">
        <v>10</v>
      </c>
      <c r="B15" s="170" t="s">
        <v>243</v>
      </c>
      <c r="C15" s="170" t="s">
        <v>234</v>
      </c>
      <c r="D15" s="169" t="s">
        <v>71</v>
      </c>
      <c r="E15" s="169">
        <v>30</v>
      </c>
      <c r="F15" s="178">
        <v>7533.33</v>
      </c>
      <c r="G15" s="178">
        <f t="shared" si="0"/>
        <v>7533.33</v>
      </c>
      <c r="H15" s="183">
        <v>373.33</v>
      </c>
      <c r="I15" s="175">
        <f>2680.95*0</f>
        <v>0</v>
      </c>
      <c r="J15" s="176">
        <f t="shared" si="1"/>
        <v>7906.66</v>
      </c>
      <c r="K15" s="177">
        <f t="shared" si="2"/>
        <v>7906.66</v>
      </c>
      <c r="L15" s="178">
        <f t="shared" si="3"/>
        <v>1126.665</v>
      </c>
      <c r="M15" s="177"/>
      <c r="N15" s="177"/>
      <c r="O15" s="176"/>
      <c r="P15" s="178">
        <f t="shared" si="4"/>
        <v>1126.665</v>
      </c>
      <c r="Q15" s="176">
        <v>2200</v>
      </c>
      <c r="R15" s="178">
        <f t="shared" si="5"/>
        <v>8979.994999999999</v>
      </c>
      <c r="S15" s="178">
        <f>2480-2200</f>
        <v>280</v>
      </c>
      <c r="T15" s="111">
        <v>8979.9975</v>
      </c>
    </row>
    <row r="16" ht="22.2" customHeight="1" spans="1:20" s="110" customFormat="1" x14ac:dyDescent="0.25">
      <c r="A16" s="169">
        <v>11</v>
      </c>
      <c r="B16" s="170" t="s">
        <v>244</v>
      </c>
      <c r="C16" s="170" t="s">
        <v>234</v>
      </c>
      <c r="D16" s="169" t="s">
        <v>29</v>
      </c>
      <c r="E16" s="169">
        <v>30</v>
      </c>
      <c r="F16" s="178">
        <v>7533.33</v>
      </c>
      <c r="G16" s="178">
        <f t="shared" si="0"/>
        <v>7533.33</v>
      </c>
      <c r="H16" s="183">
        <v>866.72</v>
      </c>
      <c r="I16" s="175"/>
      <c r="J16" s="176">
        <f t="shared" si="1"/>
        <v>8400.05</v>
      </c>
      <c r="K16" s="177">
        <f t="shared" si="2"/>
        <v>8400.05</v>
      </c>
      <c r="L16" s="178">
        <f t="shared" si="3"/>
        <v>1250.0124999999998</v>
      </c>
      <c r="M16" s="177"/>
      <c r="N16" s="177"/>
      <c r="O16" s="176"/>
      <c r="P16" s="178">
        <f t="shared" si="4"/>
        <v>1250.0124999999998</v>
      </c>
      <c r="Q16" s="176">
        <v>2200</v>
      </c>
      <c r="R16" s="178">
        <f t="shared" si="5"/>
        <v>9350.037499999999</v>
      </c>
      <c r="S16" s="178">
        <f>2850-2200</f>
        <v>650</v>
      </c>
      <c r="T16" s="111">
        <v>9349.9975</v>
      </c>
    </row>
    <row r="17" ht="22.2" customHeight="1" spans="1:20" s="110" customFormat="1" x14ac:dyDescent="0.25">
      <c r="A17" s="169">
        <v>12</v>
      </c>
      <c r="B17" s="182" t="s">
        <v>245</v>
      </c>
      <c r="C17" s="170" t="s">
        <v>234</v>
      </c>
      <c r="D17" s="169" t="s">
        <v>71</v>
      </c>
      <c r="E17" s="169">
        <v>15</v>
      </c>
      <c r="F17" s="178">
        <v>7534.33</v>
      </c>
      <c r="G17" s="178">
        <f t="shared" ref="G17" si="24">+F17/30*E17</f>
        <v>3767.165</v>
      </c>
      <c r="H17" s="178"/>
      <c r="I17" s="175">
        <f>2680.95*0</f>
        <v>0</v>
      </c>
      <c r="J17" s="176">
        <f t="shared" ref="J17" si="25">G17+H17+I17</f>
        <v>3767.165</v>
      </c>
      <c r="K17" s="177">
        <f t="shared" ref="K17" si="26">G17+H17+I17</f>
        <v>3767.165</v>
      </c>
      <c r="L17" s="178">
        <f t="shared" ref="L17" si="27">IF(K17&lt;=2000,(0),IF(K17&lt;=4000,(K17*0.15)-300,IF(K17&lt;=7000,(K17*0.2)-500,IF(K17&lt;=10000,(K17*0.25)-850,IF(K17&lt;=14000,(K17*0.3)-1350,IF(K17&gt;14000,(K17*0.35)-2050))))))</f>
        <v>265.07475</v>
      </c>
      <c r="M17" s="177"/>
      <c r="N17" s="177"/>
      <c r="O17" s="176"/>
      <c r="P17" s="178">
        <f t="shared" ref="P17" si="28">L17+M17+O17</f>
        <v>265.07475</v>
      </c>
      <c r="Q17" s="176">
        <f>1000</f>
        <v>1000</v>
      </c>
      <c r="R17" s="178">
        <f t="shared" ref="R17" si="29">J17-P17+Q17</f>
        <v>4502.09025</v>
      </c>
      <c r="S17" s="178"/>
      <c r="T17" s="111"/>
    </row>
    <row r="18" ht="22.2" customHeight="1" spans="1:20" s="110" customFormat="1" x14ac:dyDescent="0.25">
      <c r="A18" s="169">
        <v>13</v>
      </c>
      <c r="B18" s="170" t="s">
        <v>246</v>
      </c>
      <c r="C18" s="170" t="s">
        <v>234</v>
      </c>
      <c r="D18" s="169" t="s">
        <v>235</v>
      </c>
      <c r="E18" s="169">
        <v>30</v>
      </c>
      <c r="F18" s="178">
        <v>7533.33</v>
      </c>
      <c r="G18" s="178">
        <f t="shared" si="0"/>
        <v>7533.33</v>
      </c>
      <c r="H18" s="183">
        <v>1853.33</v>
      </c>
      <c r="I18" s="175"/>
      <c r="J18" s="176">
        <f t="shared" si="1"/>
        <v>9386.66</v>
      </c>
      <c r="K18" s="177">
        <f t="shared" si="2"/>
        <v>9386.66</v>
      </c>
      <c r="L18" s="178">
        <f t="shared" si="3"/>
        <v>1496.665</v>
      </c>
      <c r="M18" s="177"/>
      <c r="N18" s="177"/>
      <c r="O18" s="176"/>
      <c r="P18" s="178">
        <f t="shared" si="4"/>
        <v>1496.665</v>
      </c>
      <c r="Q18" s="176">
        <v>2200</v>
      </c>
      <c r="R18" s="178">
        <f t="shared" si="5"/>
        <v>10089.994999999999</v>
      </c>
      <c r="S18" s="178">
        <f>3590-2200</f>
        <v>1390</v>
      </c>
      <c r="T18" s="111">
        <v>10089.9975</v>
      </c>
    </row>
    <row r="19" ht="22.2" customHeight="1" spans="1:20" s="110" customFormat="1" x14ac:dyDescent="0.25">
      <c r="A19" s="169">
        <v>14</v>
      </c>
      <c r="B19" s="182" t="s">
        <v>247</v>
      </c>
      <c r="C19" s="170" t="s">
        <v>234</v>
      </c>
      <c r="D19" s="169" t="s">
        <v>235</v>
      </c>
      <c r="E19" s="169">
        <v>18</v>
      </c>
      <c r="F19" s="178">
        <v>7533.33</v>
      </c>
      <c r="G19" s="178">
        <f t="shared" ref="G19" si="30">+F19/30*E19</f>
        <v>4519.998</v>
      </c>
      <c r="H19" s="178"/>
      <c r="I19" s="175">
        <f>2680.95*0</f>
        <v>0</v>
      </c>
      <c r="J19" s="176">
        <f t="shared" ref="J19" si="31">G19+H19+I19</f>
        <v>4519.998</v>
      </c>
      <c r="K19" s="177">
        <f t="shared" ref="K19" si="32">G19+H19+I19</f>
        <v>4519.998</v>
      </c>
      <c r="L19" s="178">
        <f t="shared" ref="L19" si="33">IF(K19&lt;=2000,(0),IF(K19&lt;=4000,(K19*0.15)-300,IF(K19&lt;=7000,(K19*0.2)-500,IF(K19&lt;=10000,(K19*0.25)-850,IF(K19&lt;=14000,(K19*0.3)-1350,IF(K19&gt;14000,(K19*0.35)-2050))))))</f>
        <v>403.9996</v>
      </c>
      <c r="M19" s="177"/>
      <c r="N19" s="177"/>
      <c r="O19" s="176"/>
      <c r="P19" s="178">
        <f t="shared" ref="P19" si="34">L19+M19+O19</f>
        <v>403.9996</v>
      </c>
      <c r="Q19" s="176">
        <f>1000+370</f>
        <v>1370</v>
      </c>
      <c r="R19" s="178">
        <f t="shared" ref="R19" si="35">J19-P19+Q19</f>
        <v>5485.9983999999995</v>
      </c>
      <c r="S19" s="178"/>
      <c r="T19" s="111"/>
    </row>
    <row r="20" ht="22.2" customHeight="1" spans="1:20" s="110" customFormat="1" x14ac:dyDescent="0.25">
      <c r="A20" s="169">
        <v>15</v>
      </c>
      <c r="B20" s="170" t="s">
        <v>248</v>
      </c>
      <c r="C20" s="170" t="s">
        <v>234</v>
      </c>
      <c r="D20" s="169" t="s">
        <v>235</v>
      </c>
      <c r="E20" s="169">
        <v>30</v>
      </c>
      <c r="F20" s="178">
        <v>7533.33</v>
      </c>
      <c r="G20" s="178">
        <f t="shared" si="0"/>
        <v>7533.33</v>
      </c>
      <c r="H20" s="183">
        <v>1853.33</v>
      </c>
      <c r="I20" s="175">
        <f>2680.95*0</f>
        <v>0</v>
      </c>
      <c r="J20" s="176">
        <f t="shared" si="1"/>
        <v>9386.66</v>
      </c>
      <c r="K20" s="177">
        <f t="shared" si="2"/>
        <v>9386.66</v>
      </c>
      <c r="L20" s="178">
        <f t="shared" si="3"/>
        <v>1496.665</v>
      </c>
      <c r="M20" s="177"/>
      <c r="N20" s="177"/>
      <c r="O20" s="176"/>
      <c r="P20" s="178">
        <f t="shared" si="4"/>
        <v>1496.665</v>
      </c>
      <c r="Q20" s="176">
        <v>2200</v>
      </c>
      <c r="R20" s="178">
        <f t="shared" si="5"/>
        <v>10089.994999999999</v>
      </c>
      <c r="S20" s="178">
        <f>3590-2200</f>
        <v>1390</v>
      </c>
      <c r="T20" s="111">
        <v>10089.9975</v>
      </c>
    </row>
    <row r="21" ht="22.2" customHeight="1" spans="1:20" s="110" customFormat="1" x14ac:dyDescent="0.25">
      <c r="A21" s="169">
        <v>16</v>
      </c>
      <c r="B21" s="182" t="s">
        <v>249</v>
      </c>
      <c r="C21" s="170" t="s">
        <v>234</v>
      </c>
      <c r="D21" s="169" t="s">
        <v>235</v>
      </c>
      <c r="E21" s="169">
        <v>24</v>
      </c>
      <c r="F21" s="178">
        <v>7533.33</v>
      </c>
      <c r="G21" s="178">
        <f t="shared" ref="G21" si="36">+F21/30*E21</f>
        <v>6026.664</v>
      </c>
      <c r="H21" s="183">
        <v>2346.66</v>
      </c>
      <c r="I21" s="175">
        <f>2680.95*0.5</f>
        <v>1340.475</v>
      </c>
      <c r="J21" s="176">
        <f t="shared" ref="J21" si="37">G21+H21+I21</f>
        <v>9713.799</v>
      </c>
      <c r="K21" s="177">
        <f t="shared" ref="K21" si="38">G21+H21+I21</f>
        <v>9713.799</v>
      </c>
      <c r="L21" s="178">
        <f t="shared" ref="L21" si="39">IF(K21&lt;=2000,(0),IF(K21&lt;=4000,(K21*0.15)-300,IF(K21&lt;=7000,(K21*0.2)-500,IF(K21&lt;=10000,(K21*0.25)-850,IF(K21&lt;=14000,(K21*0.3)-1350,IF(K21&gt;14000,(K21*0.35)-2050))))))</f>
        <v>1578.4497500000002</v>
      </c>
      <c r="M21" s="177"/>
      <c r="N21" s="177"/>
      <c r="O21" s="176"/>
      <c r="P21" s="178">
        <f t="shared" ref="P21" si="40">L21+M21+O21</f>
        <v>1578.4497500000002</v>
      </c>
      <c r="Q21" s="176">
        <v>2200</v>
      </c>
      <c r="R21" s="178">
        <f t="shared" ref="R21" si="41">J21-P21+Q21</f>
        <v>10335.349250000001</v>
      </c>
      <c r="S21" s="178">
        <f>3960-2200</f>
        <v>1760</v>
      </c>
      <c r="T21" s="111">
        <v>10335.35425</v>
      </c>
    </row>
    <row r="22" ht="22.2" customHeight="1" spans="1:20" s="110" customFormat="1" x14ac:dyDescent="0.25">
      <c r="A22" s="169">
        <v>17</v>
      </c>
      <c r="B22" s="170" t="s">
        <v>250</v>
      </c>
      <c r="C22" s="170" t="s">
        <v>234</v>
      </c>
      <c r="D22" s="169" t="s">
        <v>29</v>
      </c>
      <c r="E22" s="169">
        <v>30</v>
      </c>
      <c r="F22" s="178">
        <v>7533.33</v>
      </c>
      <c r="G22" s="178">
        <f t="shared" si="0"/>
        <v>7533.33</v>
      </c>
      <c r="H22" s="183">
        <v>1360</v>
      </c>
      <c r="I22" s="175">
        <f>2680.95*0</f>
        <v>0</v>
      </c>
      <c r="J22" s="176">
        <f t="shared" si="1"/>
        <v>8893.33</v>
      </c>
      <c r="K22" s="177">
        <f t="shared" si="2"/>
        <v>8893.33</v>
      </c>
      <c r="L22" s="178">
        <f t="shared" si="3"/>
        <v>1373.3325</v>
      </c>
      <c r="M22" s="177"/>
      <c r="N22" s="177"/>
      <c r="O22" s="176"/>
      <c r="P22" s="178">
        <f t="shared" si="4"/>
        <v>1373.3325</v>
      </c>
      <c r="Q22" s="176">
        <v>2200</v>
      </c>
      <c r="R22" s="178">
        <f t="shared" si="5"/>
        <v>9719.9975</v>
      </c>
      <c r="S22" s="178">
        <f>3220-2200</f>
        <v>1020</v>
      </c>
      <c r="T22" s="111">
        <v>9719.9975</v>
      </c>
    </row>
    <row r="23" ht="22.2" customHeight="1" spans="1:20" s="110" customFormat="1" x14ac:dyDescent="0.25">
      <c r="A23" s="169">
        <v>18</v>
      </c>
      <c r="B23" s="170" t="s">
        <v>251</v>
      </c>
      <c r="C23" s="170" t="s">
        <v>234</v>
      </c>
      <c r="D23" s="169" t="s">
        <v>29</v>
      </c>
      <c r="E23" s="169">
        <v>30</v>
      </c>
      <c r="F23" s="178">
        <v>7533.33</v>
      </c>
      <c r="G23" s="178">
        <f t="shared" si="0"/>
        <v>7533.33</v>
      </c>
      <c r="H23" s="183">
        <v>1213.55</v>
      </c>
      <c r="I23" s="175">
        <f>2680.95*0</f>
        <v>0</v>
      </c>
      <c r="J23" s="176">
        <f t="shared" si="1"/>
        <v>8746.88</v>
      </c>
      <c r="K23" s="177">
        <f t="shared" si="2"/>
        <v>8746.88</v>
      </c>
      <c r="L23" s="178">
        <f t="shared" si="3"/>
        <v>1336.7199999999998</v>
      </c>
      <c r="M23" s="177"/>
      <c r="N23" s="177"/>
      <c r="O23" s="176"/>
      <c r="P23" s="178">
        <f t="shared" si="4"/>
        <v>1336.7199999999998</v>
      </c>
      <c r="Q23" s="176">
        <v>2200</v>
      </c>
      <c r="R23" s="178">
        <f t="shared" si="5"/>
        <v>9610.16</v>
      </c>
      <c r="S23" s="178">
        <f>3110-2200</f>
        <v>910</v>
      </c>
      <c r="T23" s="111">
        <v>9609.9975</v>
      </c>
    </row>
    <row r="24" ht="22.2" customHeight="1" spans="1:20" s="110" customFormat="1" x14ac:dyDescent="0.25">
      <c r="A24" s="169">
        <v>19</v>
      </c>
      <c r="B24" s="170" t="s">
        <v>252</v>
      </c>
      <c r="C24" s="170" t="s">
        <v>234</v>
      </c>
      <c r="D24" s="169" t="s">
        <v>71</v>
      </c>
      <c r="E24" s="169">
        <v>30</v>
      </c>
      <c r="F24" s="178">
        <v>7533.33</v>
      </c>
      <c r="G24" s="178">
        <f t="shared" si="0"/>
        <v>7533.33</v>
      </c>
      <c r="H24" s="183">
        <v>2805.27</v>
      </c>
      <c r="I24" s="175">
        <f t="shared" ref="I24" si="42">2680.95*0.5</f>
        <v>1340.475</v>
      </c>
      <c r="J24" s="176">
        <f t="shared" si="1"/>
        <v>11679.075</v>
      </c>
      <c r="K24" s="177">
        <f t="shared" si="2"/>
        <v>11679.075</v>
      </c>
      <c r="L24" s="178">
        <f t="shared" si="3"/>
        <v>2153.7225000000003</v>
      </c>
      <c r="M24" s="177"/>
      <c r="N24" s="177"/>
      <c r="O24" s="176"/>
      <c r="P24" s="178">
        <f t="shared" si="4"/>
        <v>2153.7225000000003</v>
      </c>
      <c r="Q24" s="176">
        <v>2200</v>
      </c>
      <c r="R24" s="178">
        <f>J24-P24+Q24</f>
        <v>11725.3525</v>
      </c>
      <c r="S24" s="178">
        <f>4220-2200</f>
        <v>2020</v>
      </c>
      <c r="T24" s="111">
        <v>11725.35375</v>
      </c>
    </row>
    <row r="25" ht="22.2" customHeight="1" spans="1:20" s="110" customFormat="1" x14ac:dyDescent="0.25">
      <c r="A25" s="169">
        <v>20</v>
      </c>
      <c r="B25" s="170" t="s">
        <v>253</v>
      </c>
      <c r="C25" s="170" t="s">
        <v>234</v>
      </c>
      <c r="D25" s="169" t="s">
        <v>235</v>
      </c>
      <c r="E25" s="169">
        <v>30</v>
      </c>
      <c r="F25" s="178">
        <v>7533.33</v>
      </c>
      <c r="G25" s="178">
        <f t="shared" si="0"/>
        <v>7533.33</v>
      </c>
      <c r="H25" s="183">
        <v>5093.41</v>
      </c>
      <c r="I25" s="175">
        <f>2680.95</f>
        <v>2680.95</v>
      </c>
      <c r="J25" s="176">
        <f t="shared" si="1"/>
        <v>15307.689999999999</v>
      </c>
      <c r="K25" s="177">
        <f t="shared" si="2"/>
        <v>15307.689999999999</v>
      </c>
      <c r="L25" s="178">
        <f t="shared" si="3"/>
        <v>3307.691499999999</v>
      </c>
      <c r="M25" s="177"/>
      <c r="N25" s="177"/>
      <c r="O25" s="176"/>
      <c r="P25" s="178">
        <f t="shared" si="4"/>
        <v>3307.691499999999</v>
      </c>
      <c r="Q25" s="176">
        <v>2200</v>
      </c>
      <c r="R25" s="178">
        <f t="shared" si="5"/>
        <v>14199.9985</v>
      </c>
      <c r="S25" s="178">
        <f>5700-2200</f>
        <v>3500</v>
      </c>
      <c r="T25" s="111">
        <v>14199.996</v>
      </c>
    </row>
    <row r="26" ht="22.2" customHeight="1" spans="1:20" s="110" customFormat="1" x14ac:dyDescent="0.25">
      <c r="A26" s="169">
        <v>21</v>
      </c>
      <c r="B26" s="170" t="s">
        <v>254</v>
      </c>
      <c r="C26" s="170" t="s">
        <v>234</v>
      </c>
      <c r="D26" s="169" t="s">
        <v>235</v>
      </c>
      <c r="E26" s="169">
        <v>30</v>
      </c>
      <c r="F26" s="178">
        <v>7533.33</v>
      </c>
      <c r="G26" s="178">
        <f t="shared" si="0"/>
        <v>7533.33</v>
      </c>
      <c r="H26" s="183">
        <v>2200</v>
      </c>
      <c r="I26" s="175">
        <f>2680.95*0</f>
        <v>0</v>
      </c>
      <c r="J26" s="176">
        <f t="shared" si="1"/>
        <v>9733.33</v>
      </c>
      <c r="K26" s="177">
        <f t="shared" si="2"/>
        <v>9733.33</v>
      </c>
      <c r="L26" s="178">
        <f t="shared" si="3"/>
        <v>1583.3325</v>
      </c>
      <c r="M26" s="177"/>
      <c r="N26" s="177"/>
      <c r="O26" s="176"/>
      <c r="P26" s="178">
        <f t="shared" si="4"/>
        <v>1583.3325</v>
      </c>
      <c r="Q26" s="176">
        <v>2200</v>
      </c>
      <c r="R26" s="178">
        <f t="shared" si="5"/>
        <v>10349.9975</v>
      </c>
      <c r="S26" s="178">
        <f>3850-2200</f>
        <v>1650</v>
      </c>
      <c r="T26" s="111">
        <v>10349.9975</v>
      </c>
    </row>
    <row r="27" ht="22.2" customHeight="1" spans="1:20" s="110" customFormat="1" x14ac:dyDescent="0.25">
      <c r="A27" s="169">
        <v>22</v>
      </c>
      <c r="B27" s="170" t="s">
        <v>255</v>
      </c>
      <c r="C27" s="170" t="s">
        <v>234</v>
      </c>
      <c r="D27" s="169" t="s">
        <v>235</v>
      </c>
      <c r="E27" s="169">
        <v>30</v>
      </c>
      <c r="F27" s="178">
        <v>7533.33</v>
      </c>
      <c r="G27" s="178">
        <f t="shared" si="0"/>
        <v>7533.33</v>
      </c>
      <c r="H27" s="183">
        <v>7539.56</v>
      </c>
      <c r="I27" s="175">
        <f>2680.95</f>
        <v>2680.95</v>
      </c>
      <c r="J27" s="176">
        <f t="shared" si="1"/>
        <v>17753.84</v>
      </c>
      <c r="K27" s="177">
        <f t="shared" si="2"/>
        <v>17753.84</v>
      </c>
      <c r="L27" s="178">
        <f t="shared" si="3"/>
        <v>4163.844</v>
      </c>
      <c r="M27" s="177"/>
      <c r="N27" s="177"/>
      <c r="O27" s="176"/>
      <c r="P27" s="178">
        <f t="shared" si="4"/>
        <v>4163.844</v>
      </c>
      <c r="Q27" s="176">
        <v>2200</v>
      </c>
      <c r="R27" s="178">
        <f t="shared" si="5"/>
        <v>15789.996</v>
      </c>
      <c r="S27" s="178">
        <f>7290-2200</f>
        <v>5090</v>
      </c>
      <c r="T27" s="111">
        <v>15789.996</v>
      </c>
    </row>
    <row r="28" ht="22.2" customHeight="1" spans="1:20" s="110" customFormat="1" x14ac:dyDescent="0.25">
      <c r="A28" s="169">
        <v>23</v>
      </c>
      <c r="B28" s="182" t="s">
        <v>256</v>
      </c>
      <c r="C28" s="170" t="s">
        <v>234</v>
      </c>
      <c r="D28" s="169" t="s">
        <v>71</v>
      </c>
      <c r="E28" s="169">
        <v>28</v>
      </c>
      <c r="F28" s="178">
        <v>7533.33</v>
      </c>
      <c r="G28" s="178">
        <f t="shared" ref="G28" si="43">+F28/30*E28</f>
        <v>7031.108</v>
      </c>
      <c r="H28" s="178"/>
      <c r="I28" s="175">
        <f>2680.95*0</f>
        <v>0</v>
      </c>
      <c r="J28" s="176">
        <f t="shared" ref="J28" si="44">G28+H28+I28</f>
        <v>7031.108</v>
      </c>
      <c r="K28" s="177">
        <f t="shared" ref="K28" si="45">G28+H28+I28</f>
        <v>7031.108</v>
      </c>
      <c r="L28" s="178">
        <f t="shared" ref="L28" si="46">IF(K28&lt;=2000,(0),IF(K28&lt;=4000,(K28*0.15)-300,IF(K28&lt;=7000,(K28*0.2)-500,IF(K28&lt;=10000,(K28*0.25)-850,IF(K28&lt;=14000,(K28*0.3)-1350,IF(K28&gt;14000,(K28*0.35)-2050))))))</f>
        <v>907.777</v>
      </c>
      <c r="M28" s="177"/>
      <c r="N28" s="177"/>
      <c r="O28" s="176"/>
      <c r="P28" s="178">
        <f t="shared" ref="P28" si="47">L28+M28+O28</f>
        <v>907.777</v>
      </c>
      <c r="Q28" s="176">
        <f>1000+1110</f>
        <v>2110</v>
      </c>
      <c r="R28" s="178">
        <f t="shared" ref="R28" si="48">J28-P28+Q28</f>
        <v>8233.331</v>
      </c>
      <c r="S28" s="178"/>
      <c r="T28" s="111"/>
    </row>
    <row r="29" ht="22.2" customHeight="1" spans="1:20" s="110" customFormat="1" x14ac:dyDescent="0.25">
      <c r="A29" s="169">
        <v>24</v>
      </c>
      <c r="B29" s="170" t="s">
        <v>257</v>
      </c>
      <c r="C29" s="170" t="s">
        <v>234</v>
      </c>
      <c r="D29" s="169" t="s">
        <v>71</v>
      </c>
      <c r="E29" s="169">
        <v>30</v>
      </c>
      <c r="F29" s="178">
        <v>7533.33</v>
      </c>
      <c r="G29" s="178">
        <f t="shared" si="0"/>
        <v>7533.33</v>
      </c>
      <c r="H29" s="183">
        <v>3490.98</v>
      </c>
      <c r="I29" s="175">
        <f>2680.95*0.5</f>
        <v>1340.475</v>
      </c>
      <c r="J29" s="176">
        <f t="shared" si="1"/>
        <v>12364.785</v>
      </c>
      <c r="K29" s="177">
        <f t="shared" si="2"/>
        <v>12364.785</v>
      </c>
      <c r="L29" s="178">
        <f t="shared" si="3"/>
        <v>2359.4354999999996</v>
      </c>
      <c r="M29" s="177"/>
      <c r="N29" s="177"/>
      <c r="O29" s="176"/>
      <c r="P29" s="178">
        <f t="shared" si="4"/>
        <v>2359.4354999999996</v>
      </c>
      <c r="Q29" s="176">
        <v>2200</v>
      </c>
      <c r="R29" s="178">
        <f t="shared" si="5"/>
        <v>12205.3495</v>
      </c>
      <c r="S29" s="178">
        <f>4700-2200</f>
        <v>2500</v>
      </c>
      <c r="T29" s="111">
        <v>12205.35375</v>
      </c>
    </row>
    <row r="30" ht="22.2" customHeight="1" spans="1:20" s="110" customFormat="1" x14ac:dyDescent="0.25">
      <c r="A30" s="169">
        <v>25</v>
      </c>
      <c r="B30" s="170" t="s">
        <v>258</v>
      </c>
      <c r="C30" s="170" t="s">
        <v>234</v>
      </c>
      <c r="D30" s="169" t="s">
        <v>235</v>
      </c>
      <c r="E30" s="169">
        <v>30</v>
      </c>
      <c r="F30" s="178">
        <v>7533.33</v>
      </c>
      <c r="G30" s="178">
        <f t="shared" si="0"/>
        <v>7533.33</v>
      </c>
      <c r="H30" s="178"/>
      <c r="I30" s="175">
        <f>2680.95</f>
        <v>2680.95</v>
      </c>
      <c r="J30" s="176">
        <f t="shared" si="1"/>
        <v>10214.279999999999</v>
      </c>
      <c r="K30" s="177">
        <f t="shared" si="2"/>
        <v>10214.279999999999</v>
      </c>
      <c r="L30" s="178">
        <f t="shared" si="3"/>
        <v>1714.2839999999997</v>
      </c>
      <c r="M30" s="177"/>
      <c r="N30" s="177"/>
      <c r="O30" s="176"/>
      <c r="P30" s="178">
        <f t="shared" si="4"/>
        <v>1714.2839999999997</v>
      </c>
      <c r="Q30" s="176">
        <f>1000+140</f>
        <v>1140</v>
      </c>
      <c r="R30" s="178">
        <f t="shared" si="5"/>
        <v>9639.996</v>
      </c>
      <c r="S30" s="178"/>
      <c r="T30" s="111"/>
    </row>
    <row r="31" ht="22.2" customHeight="1" spans="1:20" s="110" customFormat="1" x14ac:dyDescent="0.25">
      <c r="A31" s="169">
        <v>26</v>
      </c>
      <c r="B31" s="170" t="s">
        <v>259</v>
      </c>
      <c r="C31" s="170" t="s">
        <v>234</v>
      </c>
      <c r="D31" s="169" t="s">
        <v>29</v>
      </c>
      <c r="E31" s="169">
        <v>30</v>
      </c>
      <c r="F31" s="178">
        <v>7533.33</v>
      </c>
      <c r="G31" s="178">
        <f t="shared" si="0"/>
        <v>7533.33</v>
      </c>
      <c r="H31" s="183">
        <v>2962.41</v>
      </c>
      <c r="I31" s="175">
        <f>2680.95*0.5</f>
        <v>1340.475</v>
      </c>
      <c r="J31" s="176">
        <f t="shared" si="1"/>
        <v>11836.215</v>
      </c>
      <c r="K31" s="177">
        <f t="shared" si="2"/>
        <v>11836.215</v>
      </c>
      <c r="L31" s="178">
        <f t="shared" si="3"/>
        <v>2200.8645</v>
      </c>
      <c r="M31" s="177"/>
      <c r="N31" s="177"/>
      <c r="O31" s="176"/>
      <c r="P31" s="178">
        <f t="shared" si="4"/>
        <v>2200.8645</v>
      </c>
      <c r="Q31" s="176">
        <v>2200</v>
      </c>
      <c r="R31" s="178">
        <f t="shared" si="5"/>
        <v>11835.3505</v>
      </c>
      <c r="S31" s="178">
        <f>4330-2200</f>
        <v>2130</v>
      </c>
      <c r="T31" s="111">
        <v>11835.35375</v>
      </c>
    </row>
    <row r="32" ht="22.2" customHeight="1" spans="1:20" s="110" customFormat="1" x14ac:dyDescent="0.25">
      <c r="A32" s="169">
        <v>28</v>
      </c>
      <c r="B32" s="182" t="s">
        <v>260</v>
      </c>
      <c r="C32" s="170" t="s">
        <v>234</v>
      </c>
      <c r="D32" s="169" t="s">
        <v>71</v>
      </c>
      <c r="E32" s="169">
        <v>18</v>
      </c>
      <c r="F32" s="178">
        <v>7533.33</v>
      </c>
      <c r="G32" s="178">
        <f t="shared" ref="G32" si="49">+F32/30*E32</f>
        <v>4519.998</v>
      </c>
      <c r="H32" s="178"/>
      <c r="I32" s="175">
        <f t="shared" ref="I32:I37" si="50">2680.95*0</f>
        <v>0</v>
      </c>
      <c r="J32" s="176">
        <f t="shared" ref="J32" si="51">G32+H32+I32</f>
        <v>4519.998</v>
      </c>
      <c r="K32" s="177">
        <f t="shared" ref="K32" si="52">G32+H32+I32</f>
        <v>4519.998</v>
      </c>
      <c r="L32" s="178">
        <f t="shared" ref="L32" si="53">IF(K32&lt;=2000,(0),IF(K32&lt;=4000,(K32*0.15)-300,IF(K32&lt;=7000,(K32*0.2)-500,IF(K32&lt;=10000,(K32*0.25)-850,IF(K32&lt;=14000,(K32*0.3)-1350,IF(K32&gt;14000,(K32*0.35)-2050))))))</f>
        <v>403.9996</v>
      </c>
      <c r="M32" s="177"/>
      <c r="N32" s="177"/>
      <c r="O32" s="176"/>
      <c r="P32" s="178">
        <f t="shared" ref="P32" si="54">L32+M32+O32</f>
        <v>403.9996</v>
      </c>
      <c r="Q32" s="176">
        <f>1000+370</f>
        <v>1370</v>
      </c>
      <c r="R32" s="178">
        <f t="shared" ref="R32" si="55">J32-P32+Q32</f>
        <v>5485.9983999999995</v>
      </c>
      <c r="S32" s="183"/>
      <c r="T32" s="111"/>
    </row>
    <row r="33" ht="22.2" customHeight="1" spans="1:20" s="110" customFormat="1" x14ac:dyDescent="0.25">
      <c r="A33" s="169">
        <v>29</v>
      </c>
      <c r="B33" s="170" t="s">
        <v>261</v>
      </c>
      <c r="C33" s="170" t="s">
        <v>234</v>
      </c>
      <c r="D33" s="169" t="s">
        <v>29</v>
      </c>
      <c r="E33" s="169">
        <v>30</v>
      </c>
      <c r="F33" s="178">
        <v>7533.33</v>
      </c>
      <c r="G33" s="178">
        <f t="shared" si="0"/>
        <v>7533.33</v>
      </c>
      <c r="H33" s="178"/>
      <c r="I33" s="175">
        <f t="shared" si="50"/>
        <v>0</v>
      </c>
      <c r="J33" s="176">
        <f t="shared" si="1"/>
        <v>7533.33</v>
      </c>
      <c r="K33" s="177">
        <f t="shared" si="2"/>
        <v>7533.33</v>
      </c>
      <c r="L33" s="178">
        <f t="shared" si="3"/>
        <v>1033.3325</v>
      </c>
      <c r="M33" s="177"/>
      <c r="N33" s="177"/>
      <c r="O33" s="176"/>
      <c r="P33" s="178">
        <f t="shared" si="4"/>
        <v>1033.3325</v>
      </c>
      <c r="Q33" s="176">
        <f>1000+740</f>
        <v>1740</v>
      </c>
      <c r="R33" s="178">
        <f t="shared" si="5"/>
        <v>8239.9975</v>
      </c>
      <c r="S33" s="178"/>
      <c r="T33" s="111"/>
    </row>
    <row r="34" ht="22.2" customHeight="1" spans="1:20" s="118" customFormat="1" x14ac:dyDescent="0.25">
      <c r="A34" s="169">
        <v>31</v>
      </c>
      <c r="B34" s="184" t="s">
        <v>262</v>
      </c>
      <c r="C34" s="185" t="s">
        <v>234</v>
      </c>
      <c r="D34" s="172" t="s">
        <v>71</v>
      </c>
      <c r="E34" s="172">
        <v>18</v>
      </c>
      <c r="F34" s="178">
        <v>7532.33</v>
      </c>
      <c r="G34" s="178">
        <f t="shared" si="0"/>
        <v>4519.398</v>
      </c>
      <c r="H34" s="178"/>
      <c r="I34" s="175">
        <f t="shared" si="50"/>
        <v>0</v>
      </c>
      <c r="J34" s="176">
        <f t="shared" si="1"/>
        <v>4519.398</v>
      </c>
      <c r="K34" s="177">
        <f t="shared" si="2"/>
        <v>4519.398</v>
      </c>
      <c r="L34" s="178">
        <f t="shared" si="3"/>
        <v>403.8796000000001</v>
      </c>
      <c r="M34" s="177"/>
      <c r="N34" s="177"/>
      <c r="O34" s="176"/>
      <c r="P34" s="178">
        <f t="shared" si="4"/>
        <v>403.8796000000001</v>
      </c>
      <c r="Q34" s="176">
        <f>1000+370</f>
        <v>1370</v>
      </c>
      <c r="R34" s="178">
        <f t="shared" si="5"/>
        <v>5485.5184</v>
      </c>
      <c r="S34" s="173"/>
      <c r="T34" s="119"/>
    </row>
    <row r="35" ht="22.2" customHeight="1" spans="1:20" s="118" customFormat="1" x14ac:dyDescent="0.25">
      <c r="A35" s="169">
        <v>32</v>
      </c>
      <c r="B35" s="184" t="s">
        <v>263</v>
      </c>
      <c r="C35" s="185" t="s">
        <v>234</v>
      </c>
      <c r="D35" s="172" t="s">
        <v>235</v>
      </c>
      <c r="E35" s="172">
        <v>23</v>
      </c>
      <c r="F35" s="178">
        <v>7532.33</v>
      </c>
      <c r="G35" s="178">
        <f t="shared" ref="G35" si="56">+F35/30*E35</f>
        <v>5774.7863333333335</v>
      </c>
      <c r="H35" s="178"/>
      <c r="I35" s="175">
        <f t="shared" si="50"/>
        <v>0</v>
      </c>
      <c r="J35" s="176">
        <f t="shared" ref="J35" si="57">G35+H35+I35</f>
        <v>5774.7863333333335</v>
      </c>
      <c r="K35" s="177">
        <f t="shared" ref="K35" si="58">G35+H35+I35</f>
        <v>5774.7863333333335</v>
      </c>
      <c r="L35" s="178">
        <f t="shared" ref="L35" si="59">IF(K35&lt;=2000,(0),IF(K35&lt;=4000,(K35*0.15)-300,IF(K35&lt;=7000,(K35*0.2)-500,IF(K35&lt;=10000,(K35*0.25)-850,IF(K35&lt;=14000,(K35*0.3)-1350,IF(K35&gt;14000,(K35*0.35)-2050))))))</f>
        <v>654.9572666666668</v>
      </c>
      <c r="M35" s="177"/>
      <c r="N35" s="177"/>
      <c r="O35" s="176"/>
      <c r="P35" s="178">
        <f t="shared" ref="P35" si="60">L35+M35+O35</f>
        <v>654.9572666666668</v>
      </c>
      <c r="Q35" s="176">
        <f>1000/30*E35+1110</f>
        <v>1876.6666666666667</v>
      </c>
      <c r="R35" s="178">
        <f t="shared" ref="R35" si="61">J35-P35+Q35</f>
        <v>6996.495733333334</v>
      </c>
      <c r="S35" s="186"/>
      <c r="T35" s="119"/>
    </row>
    <row r="36" ht="22.2" customHeight="1" spans="1:20" s="118" customFormat="1" x14ac:dyDescent="0.25">
      <c r="A36" s="169">
        <v>34</v>
      </c>
      <c r="B36" s="184" t="s">
        <v>264</v>
      </c>
      <c r="C36" s="185" t="s">
        <v>234</v>
      </c>
      <c r="D36" s="172" t="s">
        <v>71</v>
      </c>
      <c r="E36" s="172">
        <v>18</v>
      </c>
      <c r="F36" s="178">
        <v>7533.33</v>
      </c>
      <c r="G36" s="178">
        <f t="shared" ref="G36" si="62">+F36/30*E36</f>
        <v>4519.998</v>
      </c>
      <c r="H36" s="178"/>
      <c r="I36" s="175">
        <f t="shared" si="50"/>
        <v>0</v>
      </c>
      <c r="J36" s="176">
        <f t="shared" ref="J36" si="63">G36+H36+I36</f>
        <v>4519.998</v>
      </c>
      <c r="K36" s="177">
        <f t="shared" ref="K36" si="64">G36+H36+I36</f>
        <v>4519.998</v>
      </c>
      <c r="L36" s="178">
        <f t="shared" ref="L36" si="65">IF(K36&lt;=2000,(0),IF(K36&lt;=4000,(K36*0.15)-300,IF(K36&lt;=7000,(K36*0.2)-500,IF(K36&lt;=10000,(K36*0.25)-850,IF(K36&lt;=14000,(K36*0.3)-1350,IF(K36&gt;14000,(K36*0.35)-2050))))))</f>
        <v>403.9996</v>
      </c>
      <c r="M36" s="177"/>
      <c r="N36" s="177"/>
      <c r="O36" s="176"/>
      <c r="P36" s="178">
        <f t="shared" ref="P36" si="66">L36+M36+O36</f>
        <v>403.9996</v>
      </c>
      <c r="Q36" s="176">
        <f>1000+1370</f>
        <v>2370</v>
      </c>
      <c r="R36" s="178">
        <f t="shared" ref="R36" si="67">J36-P36+Q36</f>
        <v>6485.9983999999995</v>
      </c>
      <c r="S36" s="187"/>
      <c r="T36" s="119"/>
    </row>
    <row r="37" ht="22.2" customHeight="1" spans="1:20" s="118" customFormat="1" x14ac:dyDescent="0.25">
      <c r="A37" s="169">
        <v>35</v>
      </c>
      <c r="B37" s="185" t="s">
        <v>265</v>
      </c>
      <c r="C37" s="185" t="s">
        <v>234</v>
      </c>
      <c r="D37" s="172" t="s">
        <v>71</v>
      </c>
      <c r="E37" s="172">
        <v>43</v>
      </c>
      <c r="F37" s="178">
        <v>7533.33</v>
      </c>
      <c r="G37" s="178">
        <f t="shared" si="0"/>
        <v>10797.773</v>
      </c>
      <c r="H37" s="183">
        <v>1019.04</v>
      </c>
      <c r="I37" s="175">
        <f t="shared" si="50"/>
        <v>0</v>
      </c>
      <c r="J37" s="176">
        <f t="shared" si="1"/>
        <v>11816.812999999998</v>
      </c>
      <c r="K37" s="177">
        <f t="shared" si="2"/>
        <v>11816.812999999998</v>
      </c>
      <c r="L37" s="178">
        <f t="shared" si="3"/>
        <v>2195.043899999999</v>
      </c>
      <c r="M37" s="177"/>
      <c r="N37" s="177"/>
      <c r="O37" s="176"/>
      <c r="P37" s="178">
        <f t="shared" si="4"/>
        <v>2195.043899999999</v>
      </c>
      <c r="Q37" s="176">
        <v>2200</v>
      </c>
      <c r="R37" s="178">
        <f t="shared" si="5"/>
        <v>11821.7691</v>
      </c>
      <c r="S37" s="186">
        <f>2913.33-2200</f>
        <v>713.3299999999999</v>
      </c>
      <c r="T37" s="119">
        <v>11821.774433333334</v>
      </c>
    </row>
    <row r="38" ht="22.2" customHeight="1" spans="1:20" s="110" customFormat="1" x14ac:dyDescent="0.25">
      <c r="A38" s="169">
        <v>36</v>
      </c>
      <c r="B38" s="170" t="s">
        <v>266</v>
      </c>
      <c r="C38" s="170" t="s">
        <v>234</v>
      </c>
      <c r="D38" s="169" t="s">
        <v>29</v>
      </c>
      <c r="E38" s="169">
        <v>30</v>
      </c>
      <c r="F38" s="178">
        <v>7533.33</v>
      </c>
      <c r="G38" s="178">
        <f t="shared" si="0"/>
        <v>7533.33</v>
      </c>
      <c r="H38" s="183">
        <v>3490.98</v>
      </c>
      <c r="I38" s="175">
        <f>2680.95*0.5</f>
        <v>1340.475</v>
      </c>
      <c r="J38" s="176">
        <f t="shared" si="1"/>
        <v>12364.785</v>
      </c>
      <c r="K38" s="177">
        <f t="shared" si="2"/>
        <v>12364.785</v>
      </c>
      <c r="L38" s="178">
        <f t="shared" si="3"/>
        <v>2359.4354999999996</v>
      </c>
      <c r="M38" s="177"/>
      <c r="N38" s="177"/>
      <c r="O38" s="176"/>
      <c r="P38" s="178">
        <f t="shared" si="4"/>
        <v>2359.4354999999996</v>
      </c>
      <c r="Q38" s="176">
        <v>2200</v>
      </c>
      <c r="R38" s="178">
        <f t="shared" si="5"/>
        <v>12205.3495</v>
      </c>
      <c r="S38" s="178">
        <f>4700-2200</f>
        <v>2500</v>
      </c>
      <c r="T38" s="111">
        <v>12205.35375</v>
      </c>
    </row>
    <row r="39" ht="22.2" customHeight="1" spans="1:20" s="110" customFormat="1" x14ac:dyDescent="0.25">
      <c r="A39" s="169">
        <v>37</v>
      </c>
      <c r="B39" s="170" t="s">
        <v>267</v>
      </c>
      <c r="C39" s="170" t="s">
        <v>234</v>
      </c>
      <c r="D39" s="169" t="s">
        <v>71</v>
      </c>
      <c r="E39" s="169">
        <v>30</v>
      </c>
      <c r="F39" s="178">
        <v>7533.33</v>
      </c>
      <c r="G39" s="178">
        <f t="shared" si="0"/>
        <v>7533.33</v>
      </c>
      <c r="H39" s="183">
        <v>2962.41</v>
      </c>
      <c r="I39" s="175">
        <f>2680.95*0.5</f>
        <v>1340.475</v>
      </c>
      <c r="J39" s="176">
        <f t="shared" si="1"/>
        <v>11836.215</v>
      </c>
      <c r="K39" s="177">
        <f t="shared" si="2"/>
        <v>11836.215</v>
      </c>
      <c r="L39" s="178">
        <f t="shared" si="3"/>
        <v>2200.8645</v>
      </c>
      <c r="M39" s="177"/>
      <c r="N39" s="177"/>
      <c r="O39" s="176"/>
      <c r="P39" s="178">
        <f t="shared" si="4"/>
        <v>2200.8645</v>
      </c>
      <c r="Q39" s="176">
        <v>2200</v>
      </c>
      <c r="R39" s="178">
        <f t="shared" si="5"/>
        <v>11835.3505</v>
      </c>
      <c r="S39" s="178">
        <f>4330-2200</f>
        <v>2130</v>
      </c>
      <c r="T39" s="111">
        <v>11835.35375</v>
      </c>
    </row>
    <row r="40" ht="22.2" customHeight="1" spans="1:20" s="110" customFormat="1" x14ac:dyDescent="0.25">
      <c r="A40" s="169">
        <v>38</v>
      </c>
      <c r="B40" s="170" t="s">
        <v>268</v>
      </c>
      <c r="C40" s="170" t="s">
        <v>234</v>
      </c>
      <c r="D40" s="169" t="s">
        <v>29</v>
      </c>
      <c r="E40" s="169">
        <v>30</v>
      </c>
      <c r="F40" s="178">
        <v>7533.33</v>
      </c>
      <c r="G40" s="178">
        <f t="shared" si="0"/>
        <v>7533.33</v>
      </c>
      <c r="H40" s="183">
        <v>4019.55</v>
      </c>
      <c r="I40" s="175">
        <f>2680.95*0.5</f>
        <v>1340.475</v>
      </c>
      <c r="J40" s="176">
        <f t="shared" si="1"/>
        <v>12893.355000000001</v>
      </c>
      <c r="K40" s="177">
        <f t="shared" si="2"/>
        <v>12893.355000000001</v>
      </c>
      <c r="L40" s="178">
        <f t="shared" si="3"/>
        <v>2518.0065000000004</v>
      </c>
      <c r="M40" s="177"/>
      <c r="N40" s="177"/>
      <c r="O40" s="176"/>
      <c r="P40" s="178">
        <f t="shared" si="4"/>
        <v>2518.0065000000004</v>
      </c>
      <c r="Q40" s="176">
        <v>2200</v>
      </c>
      <c r="R40" s="178">
        <f t="shared" si="5"/>
        <v>12575.3485</v>
      </c>
      <c r="S40" s="178">
        <f>5070-2200</f>
        <v>2870</v>
      </c>
      <c r="T40" s="111">
        <v>12575.35375</v>
      </c>
    </row>
    <row r="41" ht="22.2" customHeight="1" spans="1:20" s="110" customFormat="1" x14ac:dyDescent="0.25">
      <c r="A41" s="169">
        <v>40</v>
      </c>
      <c r="B41" s="185" t="s">
        <v>269</v>
      </c>
      <c r="C41" s="185" t="s">
        <v>234</v>
      </c>
      <c r="D41" s="172" t="s">
        <v>235</v>
      </c>
      <c r="E41" s="172">
        <v>30</v>
      </c>
      <c r="F41" s="173">
        <v>7533.33</v>
      </c>
      <c r="G41" s="173">
        <f t="shared" si="0"/>
        <v>7533.33</v>
      </c>
      <c r="H41" s="187">
        <v>11524.18</v>
      </c>
      <c r="I41" s="175">
        <f>2680.95</f>
        <v>2680.95</v>
      </c>
      <c r="J41" s="175">
        <f t="shared" si="1"/>
        <v>21738.460000000003</v>
      </c>
      <c r="K41" s="188">
        <f t="shared" si="2"/>
        <v>21738.460000000003</v>
      </c>
      <c r="L41" s="173">
        <f t="shared" si="3"/>
        <v>5558.461</v>
      </c>
      <c r="M41" s="189"/>
      <c r="N41" s="189"/>
      <c r="O41" s="180"/>
      <c r="P41" s="173">
        <f t="shared" si="4"/>
        <v>5558.461</v>
      </c>
      <c r="Q41" s="175">
        <v>2200</v>
      </c>
      <c r="R41" s="173">
        <f t="shared" si="5"/>
        <v>18379.999000000003</v>
      </c>
      <c r="S41" s="173">
        <f>9880-2200</f>
        <v>7680</v>
      </c>
      <c r="T41" s="111">
        <v>18379.996</v>
      </c>
    </row>
    <row r="42" ht="22.95" customHeight="1" spans="1:20" s="190" customFormat="1" x14ac:dyDescent="0.25">
      <c r="A42" s="169">
        <v>41</v>
      </c>
      <c r="B42" s="170" t="s">
        <v>270</v>
      </c>
      <c r="C42" s="171" t="s">
        <v>271</v>
      </c>
      <c r="D42" s="169" t="s">
        <v>26</v>
      </c>
      <c r="E42" s="169">
        <v>30</v>
      </c>
      <c r="F42" s="178">
        <v>39568.97</v>
      </c>
      <c r="G42" s="173">
        <f t="shared" si="0"/>
        <v>39568.97</v>
      </c>
      <c r="H42" s="191">
        <v>9030</v>
      </c>
      <c r="I42" s="175"/>
      <c r="J42" s="192">
        <f t="shared" si="1"/>
        <v>48598.97</v>
      </c>
      <c r="K42" s="193">
        <f t="shared" si="2"/>
        <v>48598.97</v>
      </c>
      <c r="L42" s="194">
        <f t="shared" si="3"/>
        <v>14959.639500000001</v>
      </c>
      <c r="M42" s="177">
        <f>F42*0.07</f>
        <v>2769.8279</v>
      </c>
      <c r="N42" s="177">
        <f>F42*0.11</f>
        <v>4352.5867</v>
      </c>
      <c r="O42" s="192"/>
      <c r="P42" s="178">
        <f t="shared" si="4"/>
        <v>17729.4674</v>
      </c>
      <c r="Q42" s="176">
        <v>2000</v>
      </c>
      <c r="R42" s="178">
        <f t="shared" si="5"/>
        <v>32869.5026</v>
      </c>
      <c r="S42" s="178"/>
      <c r="T42" s="111"/>
    </row>
    <row r="43" ht="22.95" customHeight="1" spans="1:20" s="190" customFormat="1" x14ac:dyDescent="0.25">
      <c r="A43" s="169">
        <v>42</v>
      </c>
      <c r="B43" s="182" t="s">
        <v>272</v>
      </c>
      <c r="C43" s="171" t="s">
        <v>234</v>
      </c>
      <c r="D43" s="169" t="s">
        <v>29</v>
      </c>
      <c r="E43" s="169">
        <v>31</v>
      </c>
      <c r="F43" s="178">
        <v>7533.33</v>
      </c>
      <c r="G43" s="178">
        <f t="shared" ref="G43" si="68">+F43/30*E43</f>
        <v>7784.441</v>
      </c>
      <c r="H43" s="178"/>
      <c r="I43" s="175">
        <f>2680.95*0</f>
        <v>0</v>
      </c>
      <c r="J43" s="176">
        <f t="shared" ref="J43" si="69">G43+H43+I43</f>
        <v>7784.441</v>
      </c>
      <c r="K43" s="177">
        <f t="shared" ref="K43" si="70">G43+H43+I43</f>
        <v>7784.441</v>
      </c>
      <c r="L43" s="178">
        <f t="shared" ref="L43" si="71">IF(K43&lt;=2000,(0),IF(K43&lt;=4000,(K43*0.15)-300,IF(K43&lt;=7000,(K43*0.2)-500,IF(K43&lt;=10000,(K43*0.25)-850,IF(K43&lt;=14000,(K43*0.3)-1350,IF(K43&gt;14000,(K43*0.35)-2050))))))</f>
        <v>1096.11025</v>
      </c>
      <c r="M43" s="177"/>
      <c r="N43" s="177"/>
      <c r="O43" s="176"/>
      <c r="P43" s="178">
        <f t="shared" ref="P43" si="72">L43+M43+O43</f>
        <v>1096.11025</v>
      </c>
      <c r="Q43" s="176">
        <f>1000+1110</f>
        <v>2110</v>
      </c>
      <c r="R43" s="178">
        <f t="shared" ref="R43" si="73">J43-P43+Q43</f>
        <v>8798.330750000001</v>
      </c>
      <c r="S43" s="178"/>
      <c r="T43" s="111"/>
    </row>
    <row r="44" ht="22.95" customHeight="1" spans="1:20" s="190" customFormat="1" x14ac:dyDescent="0.25">
      <c r="A44" s="169">
        <v>43</v>
      </c>
      <c r="B44" s="170" t="s">
        <v>273</v>
      </c>
      <c r="C44" s="170" t="s">
        <v>234</v>
      </c>
      <c r="D44" s="169" t="s">
        <v>235</v>
      </c>
      <c r="E44" s="169">
        <v>30</v>
      </c>
      <c r="F44" s="178">
        <v>7533.33</v>
      </c>
      <c r="G44" s="178">
        <f t="shared" si="0"/>
        <v>7533.33</v>
      </c>
      <c r="H44" s="183">
        <v>2962.41</v>
      </c>
      <c r="I44" s="175">
        <f>2680.95*0.5</f>
        <v>1340.475</v>
      </c>
      <c r="J44" s="176">
        <f t="shared" si="1"/>
        <v>11836.215</v>
      </c>
      <c r="K44" s="177">
        <f t="shared" si="2"/>
        <v>11836.215</v>
      </c>
      <c r="L44" s="178">
        <f t="shared" si="3"/>
        <v>2200.8645</v>
      </c>
      <c r="M44" s="177"/>
      <c r="N44" s="177"/>
      <c r="O44" s="176"/>
      <c r="P44" s="178">
        <f t="shared" si="4"/>
        <v>2200.8645</v>
      </c>
      <c r="Q44" s="176">
        <v>2200</v>
      </c>
      <c r="R44" s="178">
        <f t="shared" si="5"/>
        <v>11835.3505</v>
      </c>
      <c r="S44" s="178">
        <f>4330-2200</f>
        <v>2130</v>
      </c>
      <c r="T44" s="111">
        <v>11835.35375</v>
      </c>
    </row>
    <row r="45" ht="22.95" customHeight="1" spans="1:20" s="190" customFormat="1" x14ac:dyDescent="0.25">
      <c r="A45" s="169">
        <v>44</v>
      </c>
      <c r="B45" s="170" t="s">
        <v>274</v>
      </c>
      <c r="C45" s="170" t="s">
        <v>234</v>
      </c>
      <c r="D45" s="169" t="s">
        <v>26</v>
      </c>
      <c r="E45" s="169">
        <v>30</v>
      </c>
      <c r="F45" s="178">
        <v>7533.33</v>
      </c>
      <c r="G45" s="173">
        <f t="shared" si="0"/>
        <v>7533.33</v>
      </c>
      <c r="H45" s="195">
        <v>1706.67</v>
      </c>
      <c r="I45" s="175">
        <f>2680.95*0</f>
        <v>0</v>
      </c>
      <c r="J45" s="192">
        <f t="shared" si="1"/>
        <v>9240</v>
      </c>
      <c r="K45" s="193">
        <f t="shared" si="2"/>
        <v>9240</v>
      </c>
      <c r="L45" s="194">
        <f t="shared" si="3"/>
        <v>1460</v>
      </c>
      <c r="M45" s="177"/>
      <c r="N45" s="177"/>
      <c r="O45" s="192"/>
      <c r="P45" s="178">
        <f t="shared" si="4"/>
        <v>1460</v>
      </c>
      <c r="Q45" s="176">
        <v>2200</v>
      </c>
      <c r="R45" s="178">
        <f t="shared" si="5"/>
        <v>9980</v>
      </c>
      <c r="S45" s="178">
        <f>3480-2200</f>
        <v>1280</v>
      </c>
      <c r="T45" s="111">
        <v>9979.9975</v>
      </c>
    </row>
    <row r="46" ht="38.4" customHeight="1" spans="1:20" s="196" customFormat="1" x14ac:dyDescent="0.25">
      <c r="A46" s="197"/>
      <c r="B46" s="197" t="s">
        <v>275</v>
      </c>
      <c r="C46" s="197"/>
      <c r="D46" s="197"/>
      <c r="E46" s="197"/>
      <c r="F46" s="198">
        <f>SUM(F6:F45)</f>
        <v>382866.87999999995</v>
      </c>
      <c r="G46" s="198">
        <f t="shared" ref="G46:P46" si="74">SUM(G6:G45)</f>
        <v>357002.58033333323</v>
      </c>
      <c r="H46" s="198">
        <f t="shared" si="74"/>
        <v>86866.16000000002</v>
      </c>
      <c r="I46" s="198">
        <f t="shared" si="74"/>
        <v>43906.79999999999</v>
      </c>
      <c r="J46" s="198">
        <f t="shared" si="74"/>
        <v>487775.5403333335</v>
      </c>
      <c r="K46" s="198">
        <f t="shared" si="74"/>
        <v>487775.5403333335</v>
      </c>
      <c r="L46" s="198">
        <f t="shared" si="74"/>
        <v>101281.73706666667</v>
      </c>
      <c r="M46" s="198">
        <f t="shared" si="74"/>
        <v>7711.004700000001</v>
      </c>
      <c r="N46" s="198">
        <f t="shared" si="74"/>
        <v>12117.2931</v>
      </c>
      <c r="O46" s="198">
        <f t="shared" si="74"/>
        <v>10000</v>
      </c>
      <c r="P46" s="198">
        <f t="shared" si="74"/>
        <v>118992.74176666664</v>
      </c>
      <c r="Q46" s="198">
        <f>SUM(Q6:Q45)</f>
        <v>78486.66666666666</v>
      </c>
      <c r="R46" s="198">
        <f>SUM(R6:R45)</f>
        <v>447269.46523333335</v>
      </c>
      <c r="S46" s="198"/>
      <c r="T46" s="196"/>
    </row>
    <row r="47" spans="1:20" x14ac:dyDescent="0.25">
      <c r="A47" s="84"/>
      <c r="B47" s="83"/>
      <c r="C47" s="83"/>
      <c r="D47" s="84"/>
      <c r="E47" s="84"/>
      <c r="F47" s="152"/>
      <c r="G47" s="152"/>
      <c r="H47" s="152"/>
      <c r="I47" s="199"/>
      <c r="J47" s="199"/>
      <c r="K47" s="200"/>
      <c r="L47" s="200"/>
      <c r="M47" s="200"/>
      <c r="N47" s="200"/>
      <c r="O47" s="200"/>
      <c r="P47" s="152"/>
      <c r="Q47" s="199"/>
      <c r="R47" s="152"/>
      <c r="S47" s="152"/>
      <c r="T47" s="85"/>
    </row>
    <row r="48" spans="1:20" x14ac:dyDescent="0.25">
      <c r="A48" s="83"/>
      <c r="B48" s="83"/>
      <c r="C48" s="83"/>
      <c r="D48" s="84"/>
      <c r="E48" s="83"/>
      <c r="F48" s="83"/>
      <c r="G48" s="83"/>
      <c r="H48" s="83"/>
      <c r="I48" s="83"/>
      <c r="J48" s="152"/>
      <c r="K48" s="83"/>
      <c r="L48" s="83"/>
      <c r="M48" s="83"/>
      <c r="N48" s="83"/>
      <c r="O48" s="83"/>
      <c r="P48" s="83"/>
      <c r="Q48" s="83"/>
      <c r="R48" s="83"/>
      <c r="S48" s="83"/>
      <c r="T48" s="85"/>
    </row>
    <row r="49" spans="1:20" x14ac:dyDescent="0.25">
      <c r="A49" s="201" t="s">
        <v>171</v>
      </c>
      <c r="B49" s="201"/>
      <c r="C49" s="201"/>
      <c r="D49" s="201"/>
      <c r="E49" s="202"/>
      <c r="F49" s="83"/>
      <c r="G49" s="201" t="s">
        <v>172</v>
      </c>
      <c r="H49" s="201"/>
      <c r="I49" s="201"/>
      <c r="J49" s="152"/>
      <c r="K49" s="152"/>
      <c r="L49" s="152"/>
      <c r="M49" s="201" t="s">
        <v>173</v>
      </c>
      <c r="N49" s="201"/>
      <c r="O49" s="201"/>
      <c r="P49" s="201"/>
      <c r="Q49" s="201"/>
      <c r="R49" s="203"/>
      <c r="S49" s="83"/>
      <c r="T49" s="85"/>
    </row>
    <row r="50" ht="21.6" customHeight="1" spans="1:20" x14ac:dyDescent="0.25">
      <c r="A50" s="83" t="s">
        <v>174</v>
      </c>
      <c r="B50" s="83"/>
      <c r="C50" s="83"/>
      <c r="D50" s="84"/>
      <c r="E50" s="83"/>
      <c r="F50" s="83"/>
      <c r="G50" s="83" t="s">
        <v>175</v>
      </c>
      <c r="H50" s="83"/>
      <c r="I50" s="83"/>
      <c r="J50" s="152"/>
      <c r="K50" s="152"/>
      <c r="L50" s="152"/>
      <c r="M50" s="83" t="s">
        <v>175</v>
      </c>
      <c r="N50" s="83"/>
      <c r="O50" s="83"/>
      <c r="P50" s="83"/>
      <c r="Q50" s="83"/>
      <c r="R50" s="152"/>
      <c r="S50" s="83"/>
      <c r="T50" s="85"/>
    </row>
    <row r="51" ht="21.6" customHeight="1" spans="1:20" x14ac:dyDescent="0.25">
      <c r="A51" s="83" t="s">
        <v>176</v>
      </c>
      <c r="B51" s="83"/>
      <c r="C51" s="83"/>
      <c r="D51" s="84"/>
      <c r="E51" s="83"/>
      <c r="F51" s="83"/>
      <c r="G51" s="83" t="s">
        <v>177</v>
      </c>
      <c r="H51" s="83"/>
      <c r="I51" s="83"/>
      <c r="J51" s="152"/>
      <c r="K51" s="152"/>
      <c r="L51" s="152"/>
      <c r="M51" s="83" t="s">
        <v>177</v>
      </c>
      <c r="N51" s="83"/>
      <c r="O51" s="83"/>
      <c r="P51" s="83"/>
      <c r="Q51" s="83"/>
      <c r="R51" s="152"/>
      <c r="S51" s="83"/>
      <c r="T51" s="85"/>
    </row>
    <row r="52" ht="21.6" customHeight="1" spans="1:20" x14ac:dyDescent="0.25">
      <c r="A52" s="83" t="s">
        <v>178</v>
      </c>
      <c r="B52" s="83"/>
      <c r="C52" s="83"/>
      <c r="D52" s="84"/>
      <c r="E52" s="83"/>
      <c r="F52" s="83"/>
      <c r="G52" s="83" t="s">
        <v>179</v>
      </c>
      <c r="H52" s="83"/>
      <c r="I52" s="152"/>
      <c r="J52" s="152"/>
      <c r="K52" s="83"/>
      <c r="L52" s="83"/>
      <c r="M52" s="83" t="s">
        <v>179</v>
      </c>
      <c r="N52" s="83"/>
      <c r="O52" s="83"/>
      <c r="P52" s="83"/>
      <c r="Q52" s="152"/>
      <c r="R52" s="83"/>
      <c r="S52" s="83"/>
      <c r="T52" s="85"/>
    </row>
    <row r="53" spans="1:20" x14ac:dyDescent="0.25">
      <c r="A53" s="83"/>
      <c r="B53" s="83"/>
      <c r="C53" s="83"/>
      <c r="D53" s="84"/>
      <c r="E53" s="83"/>
      <c r="F53" s="204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5"/>
    </row>
    <row r="54" spans="1:20" x14ac:dyDescent="0.25">
      <c r="A54" s="83"/>
      <c r="B54" s="83"/>
      <c r="C54" s="83"/>
      <c r="D54" s="84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5"/>
    </row>
    <row r="55" spans="1:20" x14ac:dyDescent="0.25">
      <c r="A55" s="83"/>
      <c r="B55" s="83"/>
      <c r="C55" s="83"/>
      <c r="D55" s="84"/>
      <c r="E55" s="83"/>
      <c r="F55" s="83"/>
      <c r="G55" s="83"/>
      <c r="H55" s="152"/>
      <c r="I55" s="83"/>
      <c r="J55" s="83"/>
      <c r="K55" s="83"/>
      <c r="L55" s="83"/>
      <c r="M55" s="83"/>
      <c r="N55" s="83"/>
      <c r="O55" s="83"/>
      <c r="P55" s="85"/>
      <c r="Q55" s="85"/>
      <c r="R55" s="85"/>
      <c r="S55" s="85"/>
      <c r="T55" s="85"/>
    </row>
    <row r="56" spans="1:20" x14ac:dyDescent="0.25">
      <c r="A56" s="83"/>
      <c r="B56" s="83"/>
      <c r="C56" s="83"/>
      <c r="D56" s="84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5"/>
      <c r="Q56" s="85"/>
      <c r="R56" s="85"/>
      <c r="S56" s="85"/>
      <c r="T56" s="85"/>
    </row>
    <row r="57" spans="1:20" x14ac:dyDescent="0.25">
      <c r="A57" s="83"/>
      <c r="B57" s="83"/>
      <c r="C57" s="83"/>
      <c r="D57" s="84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5"/>
      <c r="Q57" s="85"/>
      <c r="R57" s="85"/>
      <c r="S57" s="85"/>
      <c r="T57" s="85"/>
    </row>
    <row r="58" spans="1:20" x14ac:dyDescent="0.25">
      <c r="A58" s="83"/>
      <c r="B58" s="83"/>
      <c r="C58" s="83"/>
      <c r="D58" s="84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5"/>
    </row>
    <row r="59" spans="1:20" x14ac:dyDescent="0.25">
      <c r="A59" s="83"/>
      <c r="B59" s="83"/>
      <c r="C59" s="83"/>
      <c r="D59" s="84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5"/>
    </row>
    <row r="60" spans="1:20" x14ac:dyDescent="0.25">
      <c r="A60" s="83"/>
      <c r="B60" s="83"/>
      <c r="C60" s="83"/>
      <c r="D60" s="84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5"/>
    </row>
    <row r="61" spans="1:20" x14ac:dyDescent="0.25">
      <c r="A61" s="83"/>
      <c r="B61" s="83"/>
      <c r="C61" s="83"/>
      <c r="D61" s="84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5"/>
    </row>
    <row r="62" spans="1:20" x14ac:dyDescent="0.25">
      <c r="A62" s="83"/>
      <c r="B62" s="83"/>
      <c r="C62" s="83"/>
      <c r="D62" s="84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5"/>
    </row>
    <row r="63" spans="1:20" x14ac:dyDescent="0.25">
      <c r="A63" s="83"/>
      <c r="B63" s="83"/>
      <c r="C63" s="83"/>
      <c r="D63" s="84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5"/>
    </row>
    <row r="64" spans="1:20" x14ac:dyDescent="0.25">
      <c r="A64" s="83"/>
      <c r="B64" s="83"/>
      <c r="C64" s="83"/>
      <c r="D64" s="84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5"/>
    </row>
    <row r="65" spans="1:20" x14ac:dyDescent="0.25">
      <c r="A65" s="83"/>
      <c r="B65" s="83"/>
      <c r="C65" s="83"/>
      <c r="D65" s="84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5"/>
    </row>
    <row r="66" spans="1:20" x14ac:dyDescent="0.25">
      <c r="A66" s="83"/>
      <c r="B66" s="83"/>
      <c r="C66" s="83"/>
      <c r="D66" s="84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5"/>
    </row>
    <row r="67" spans="1:20" x14ac:dyDescent="0.25">
      <c r="A67" s="83"/>
      <c r="B67" s="83"/>
      <c r="C67" s="83"/>
      <c r="D67" s="84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5"/>
    </row>
    <row r="68" spans="1:20" x14ac:dyDescent="0.25">
      <c r="A68" s="83"/>
      <c r="B68" s="83"/>
      <c r="C68" s="83"/>
      <c r="D68" s="84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5"/>
    </row>
    <row r="69" spans="1:20" s="83" customFormat="1" x14ac:dyDescent="0.25">
      <c r="A69" s="83"/>
      <c r="B69" s="83"/>
      <c r="C69" s="83"/>
      <c r="D69" s="84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</row>
  </sheetData>
  <autoFilter ref="A4:S46"/>
  <mergeCells count="26">
    <mergeCell ref="A1:S1"/>
    <mergeCell ref="A2:S2"/>
    <mergeCell ref="A3:S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B46:E46"/>
    <mergeCell ref="A49:B49"/>
    <mergeCell ref="G49:H49"/>
    <mergeCell ref="M49:P49"/>
  </mergeCells>
  <pageMargins left="0.7" right="0.7" top="0.75" bottom="0.75" header="0.3" footer="0.3"/>
  <pageSetup paperSize="9" orientation="portrait" horizontalDpi="360" verticalDpi="360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workbookViewId="0" zoomScale="58" zoomScaleNormal="10">
      <selection activeCell="F8" sqref="F8"/>
    </sheetView>
  </sheetViews>
  <sheetFormatPr defaultRowHeight="14.4" outlineLevelRow="0" outlineLevelCol="0" x14ac:dyDescent="0.3" defaultColWidth="8.88671875" customHeight="1"/>
  <cols>
    <col min="1" max="1" width="8.88671875" style="138" customWidth="1"/>
    <col min="2" max="2" width="34.6640625" style="138" customWidth="1"/>
    <col min="3" max="3" width="15.6640625" style="138" customWidth="1"/>
    <col min="4" max="4" width="15.88671875" style="282" customWidth="1"/>
    <col min="5" max="5" width="16.33203125" style="138" customWidth="1"/>
    <col min="6" max="18" width="19.5546875" style="138" customWidth="1"/>
    <col min="19" max="19" width="16.5546875" style="138" customWidth="1"/>
    <col min="20" max="20" width="20" style="138" customWidth="1"/>
    <col min="21" max="16384" width="8.88671875" style="138" customWidth="1"/>
  </cols>
  <sheetData>
    <row r="1" ht="34.8" customHeight="1" spans="1:20" x14ac:dyDescent="0.25">
      <c r="A1" s="250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138"/>
    </row>
    <row r="2" ht="34.8" customHeight="1" spans="1:20" x14ac:dyDescent="0.25">
      <c r="A2" s="251" t="s">
        <v>298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138"/>
    </row>
    <row r="3" ht="34.8" customHeight="1" spans="1:20" x14ac:dyDescent="0.25">
      <c r="A3" s="205" t="s">
        <v>181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138"/>
    </row>
    <row r="4" ht="24.6" customHeight="1" spans="1:20" x14ac:dyDescent="0.25">
      <c r="A4" s="252"/>
      <c r="B4" s="252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138"/>
    </row>
    <row r="5" ht="73.8" customHeight="1" spans="1:20" x14ac:dyDescent="0.25">
      <c r="A5" s="208" t="s">
        <v>3</v>
      </c>
      <c r="B5" s="209" t="s">
        <v>4</v>
      </c>
      <c r="C5" s="209" t="s">
        <v>5</v>
      </c>
      <c r="D5" s="283" t="s">
        <v>277</v>
      </c>
      <c r="E5" s="210" t="s">
        <v>7</v>
      </c>
      <c r="F5" s="211" t="s">
        <v>8</v>
      </c>
      <c r="G5" s="211" t="s">
        <v>9</v>
      </c>
      <c r="H5" s="213" t="s">
        <v>10</v>
      </c>
      <c r="I5" s="208" t="s">
        <v>11</v>
      </c>
      <c r="J5" s="209" t="s">
        <v>12</v>
      </c>
      <c r="K5" s="209" t="s">
        <v>13</v>
      </c>
      <c r="L5" s="209" t="s">
        <v>14</v>
      </c>
      <c r="M5" s="213" t="s">
        <v>15</v>
      </c>
      <c r="N5" s="209" t="s">
        <v>16</v>
      </c>
      <c r="O5" s="209" t="s">
        <v>17</v>
      </c>
      <c r="P5" s="209" t="s">
        <v>18</v>
      </c>
      <c r="Q5" s="214" t="s">
        <v>19</v>
      </c>
      <c r="R5" s="274" t="s">
        <v>20</v>
      </c>
      <c r="S5" s="208" t="s">
        <v>21</v>
      </c>
      <c r="T5" s="138"/>
    </row>
    <row r="6" ht="25.2" customHeight="1" spans="1:20" x14ac:dyDescent="0.25">
      <c r="A6" s="225">
        <v>1</v>
      </c>
      <c r="B6" s="230" t="s">
        <v>299</v>
      </c>
      <c r="C6" s="225" t="s">
        <v>28</v>
      </c>
      <c r="D6" s="226" t="s">
        <v>215</v>
      </c>
      <c r="E6" s="225">
        <v>30</v>
      </c>
      <c r="F6" s="231">
        <v>9044.12</v>
      </c>
      <c r="G6" s="220">
        <f>+F6/30*E6</f>
        <v>9044.12</v>
      </c>
      <c r="H6" s="232"/>
      <c r="I6" s="233">
        <v>2788.86</v>
      </c>
      <c r="J6" s="227">
        <f>G6+H6+I6</f>
        <v>11832.980000000001</v>
      </c>
      <c r="K6" s="234">
        <f>G6+H6+I6</f>
        <v>11832.980000000001</v>
      </c>
      <c r="L6" s="232">
        <f>IF(K6&lt;=2000,(0),IF(K6&lt;=4000,(K6*0.15)-300,IF(K6&lt;=7000,(K6*0.2)-500,IF(K6&lt;=10000,(K6*0.25)-850,IF(K6&lt;=14000,(K6*0.3)-1350,IF(K6&gt;14000,(K6*0.35)-2050))))))</f>
        <v>2199.8940000000002</v>
      </c>
      <c r="M6" s="234">
        <f>F6*0.07</f>
        <v>633.0884000000001</v>
      </c>
      <c r="N6" s="234">
        <f>G6*0.11</f>
        <v>994.8532000000001</v>
      </c>
      <c r="O6" s="227"/>
      <c r="P6" s="232">
        <f>L6+M6+O6</f>
        <v>2832.9824000000003</v>
      </c>
      <c r="Q6" s="233"/>
      <c r="R6" s="232">
        <f>J6-P6+Q6</f>
        <v>8999.9976</v>
      </c>
      <c r="S6" s="232">
        <f>R6-9000</f>
        <v>-0.0023999999993975507</v>
      </c>
      <c r="T6" s="141"/>
    </row>
    <row r="7" ht="27.6" customHeight="1" spans="1:20" x14ac:dyDescent="0.25">
      <c r="A7" s="276" t="s">
        <v>170</v>
      </c>
      <c r="B7" s="277"/>
      <c r="C7" s="277"/>
      <c r="D7" s="277"/>
      <c r="E7" s="278"/>
      <c r="F7" s="279">
        <f>SUM(F6:F6)</f>
        <v>9044.12</v>
      </c>
      <c r="G7" s="279">
        <f t="shared" ref="G7:Q7" si="0">SUM(G6:G6)</f>
        <v>9044.12</v>
      </c>
      <c r="H7" s="279">
        <f t="shared" si="0"/>
        <v>0</v>
      </c>
      <c r="I7" s="279">
        <f t="shared" si="0"/>
        <v>2788.86</v>
      </c>
      <c r="J7" s="279">
        <f t="shared" si="0"/>
        <v>11832.980000000001</v>
      </c>
      <c r="K7" s="279">
        <f t="shared" si="0"/>
        <v>11832.980000000001</v>
      </c>
      <c r="L7" s="279">
        <f t="shared" si="0"/>
        <v>2199.8940000000002</v>
      </c>
      <c r="M7" s="279">
        <f t="shared" si="0"/>
        <v>633.0884000000001</v>
      </c>
      <c r="N7" s="279">
        <f t="shared" si="0"/>
        <v>994.8532000000001</v>
      </c>
      <c r="O7" s="279">
        <f t="shared" si="0"/>
        <v>0</v>
      </c>
      <c r="P7" s="279">
        <f t="shared" si="0"/>
        <v>2832.9824000000003</v>
      </c>
      <c r="Q7" s="279">
        <f t="shared" si="0"/>
        <v>0</v>
      </c>
      <c r="R7" s="279">
        <f>SUM(R6:R6)</f>
        <v>8999.9976</v>
      </c>
      <c r="S7" s="231"/>
      <c r="T7" s="138"/>
    </row>
    <row r="8" ht="27.6" customHeight="1" spans="1:20" x14ac:dyDescent="0.25">
      <c r="A8" s="280"/>
      <c r="B8" s="280"/>
      <c r="C8" s="280"/>
      <c r="D8" s="284"/>
      <c r="E8" s="280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1"/>
      <c r="R8" s="281"/>
      <c r="S8" s="269"/>
      <c r="T8" s="138"/>
    </row>
    <row r="9" spans="1:20" x14ac:dyDescent="0.25">
      <c r="A9" s="237"/>
      <c r="B9" s="238"/>
      <c r="C9" s="238"/>
      <c r="D9" s="285"/>
      <c r="E9" s="239"/>
      <c r="F9" s="238"/>
      <c r="G9" s="238"/>
      <c r="H9" s="238"/>
      <c r="I9" s="238"/>
      <c r="J9" s="240"/>
      <c r="K9" s="238"/>
      <c r="L9" s="238"/>
      <c r="M9" s="238"/>
      <c r="N9" s="238"/>
      <c r="O9" s="238"/>
      <c r="P9" s="238"/>
      <c r="Q9" s="238"/>
      <c r="R9" s="238"/>
      <c r="S9" s="238"/>
      <c r="T9" s="138"/>
    </row>
    <row r="10" ht="25.2" customHeight="1" spans="1:20" x14ac:dyDescent="0.25">
      <c r="A10" s="241" t="s">
        <v>171</v>
      </c>
      <c r="B10" s="241"/>
      <c r="C10" s="241"/>
      <c r="D10" s="286"/>
      <c r="E10" s="242"/>
      <c r="F10" s="243"/>
      <c r="G10" s="241" t="s">
        <v>172</v>
      </c>
      <c r="H10" s="241"/>
      <c r="I10" s="241"/>
      <c r="J10" s="244"/>
      <c r="K10" s="244"/>
      <c r="L10" s="244"/>
      <c r="M10" s="241" t="s">
        <v>173</v>
      </c>
      <c r="N10" s="241"/>
      <c r="O10" s="241"/>
      <c r="P10" s="241"/>
      <c r="Q10" s="241"/>
      <c r="R10" s="245"/>
      <c r="S10" s="243"/>
      <c r="T10" s="138"/>
    </row>
    <row r="11" ht="25.8" customHeight="1" spans="1:20" x14ac:dyDescent="0.25">
      <c r="A11" s="246" t="s">
        <v>174</v>
      </c>
      <c r="B11" s="243"/>
      <c r="C11" s="243"/>
      <c r="D11" s="287"/>
      <c r="E11" s="247"/>
      <c r="F11" s="243"/>
      <c r="G11" s="248" t="s">
        <v>175</v>
      </c>
      <c r="H11" s="243"/>
      <c r="I11" s="243"/>
      <c r="J11" s="249"/>
      <c r="K11" s="244"/>
      <c r="L11" s="244"/>
      <c r="M11" s="248" t="s">
        <v>175</v>
      </c>
      <c r="N11" s="248"/>
      <c r="O11" s="248"/>
      <c r="P11" s="243"/>
      <c r="Q11" s="243"/>
      <c r="R11" s="244"/>
      <c r="S11" s="243"/>
      <c r="T11" s="138"/>
    </row>
    <row r="12" ht="25.8" customHeight="1" spans="1:20" x14ac:dyDescent="0.25">
      <c r="A12" s="246" t="s">
        <v>176</v>
      </c>
      <c r="B12" s="243"/>
      <c r="C12" s="243"/>
      <c r="D12" s="287"/>
      <c r="E12" s="247"/>
      <c r="F12" s="243"/>
      <c r="G12" s="248" t="s">
        <v>177</v>
      </c>
      <c r="H12" s="243"/>
      <c r="I12" s="243"/>
      <c r="J12" s="249"/>
      <c r="K12" s="244"/>
      <c r="L12" s="244"/>
      <c r="M12" s="248" t="s">
        <v>177</v>
      </c>
      <c r="N12" s="248"/>
      <c r="O12" s="248"/>
      <c r="P12" s="243"/>
      <c r="Q12" s="243"/>
      <c r="R12" s="244"/>
      <c r="S12" s="243"/>
      <c r="T12" s="138"/>
    </row>
    <row r="13" ht="25.2" customHeight="1" spans="1:20" x14ac:dyDescent="0.25">
      <c r="A13" s="246" t="s">
        <v>178</v>
      </c>
      <c r="B13" s="243"/>
      <c r="C13" s="243"/>
      <c r="D13" s="287"/>
      <c r="E13" s="247"/>
      <c r="F13" s="243"/>
      <c r="G13" s="248" t="s">
        <v>179</v>
      </c>
      <c r="H13" s="243"/>
      <c r="I13" s="244"/>
      <c r="J13" s="244"/>
      <c r="K13" s="243"/>
      <c r="L13" s="243"/>
      <c r="M13" s="248" t="s">
        <v>179</v>
      </c>
      <c r="N13" s="248"/>
      <c r="O13" s="248"/>
      <c r="P13" s="243"/>
      <c r="Q13" s="244"/>
      <c r="R13" s="243"/>
      <c r="S13" s="243"/>
      <c r="T13" s="138"/>
    </row>
  </sheetData>
  <autoFilter ref="A5:S5"/>
  <mergeCells count="8">
    <mergeCell ref="A1:S1"/>
    <mergeCell ref="A2:S2"/>
    <mergeCell ref="A3:S3"/>
    <mergeCell ref="A4:S4"/>
    <mergeCell ref="A7:E7"/>
    <mergeCell ref="A10:B10"/>
    <mergeCell ref="G10:H10"/>
    <mergeCell ref="M10:P1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T60"/>
  <sheetViews>
    <sheetView workbookViewId="0" zoomScale="59" zoomScaleNormal="40">
      <selection activeCell="D4" sqref="D4"/>
    </sheetView>
  </sheetViews>
  <sheetFormatPr defaultRowHeight="13.2" outlineLevelRow="0" outlineLevelCol="0" x14ac:dyDescent="0.25" defaultColWidth="13.33203125" customHeight="1"/>
  <cols>
    <col min="1" max="1" width="5.33203125" style="83" customWidth="1"/>
    <col min="2" max="2" width="26.109375" style="83" customWidth="1"/>
    <col min="3" max="3" width="13.33203125" style="83" customWidth="1"/>
    <col min="4" max="4" width="16.5546875" style="84" customWidth="1"/>
    <col min="5" max="5" width="11.6640625" style="83" customWidth="1"/>
    <col min="6" max="6" width="21.21875" style="83" customWidth="1"/>
    <col min="7" max="7" width="19.6640625" style="83" customWidth="1"/>
    <col min="8" max="9" width="19.44140625" style="83" customWidth="1"/>
    <col min="10" max="10" width="19.109375" style="83" customWidth="1"/>
    <col min="11" max="11" width="16.33203125" style="83" customWidth="1"/>
    <col min="12" max="12" width="14.6640625" style="83" customWidth="1"/>
    <col min="13" max="13" width="13.44140625" style="83" customWidth="1"/>
    <col min="14" max="14" width="14.6640625" style="83" customWidth="1"/>
    <col min="15" max="15" width="16.44140625" style="83" customWidth="1"/>
    <col min="16" max="16" width="14.6640625" style="83" customWidth="1"/>
    <col min="17" max="17" width="20.109375" style="83" customWidth="1"/>
    <col min="18" max="18" width="19.6640625" style="83" customWidth="1"/>
    <col min="19" max="19" width="17.44140625" style="83" customWidth="1"/>
    <col min="20" max="16384" width="13.33203125" style="85" customWidth="1"/>
  </cols>
  <sheetData>
    <row r="1" ht="26.4" customHeight="1" spans="1:20" s="86" customFormat="1" x14ac:dyDescent="0.25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6"/>
    </row>
    <row r="2" ht="26.4" customHeight="1" spans="1:20" s="86" customFormat="1" x14ac:dyDescent="0.25">
      <c r="A2" s="88" t="s">
        <v>180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6"/>
    </row>
    <row r="3" ht="26.4" customHeight="1" spans="1:20" s="86" customFormat="1" x14ac:dyDescent="0.25">
      <c r="A3" s="88" t="s">
        <v>181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6"/>
    </row>
    <row r="4" ht="52.2" customHeight="1" spans="1:20" x14ac:dyDescent="0.25">
      <c r="A4" s="89" t="s">
        <v>3</v>
      </c>
      <c r="B4" s="90" t="s">
        <v>4</v>
      </c>
      <c r="C4" s="90" t="s">
        <v>5</v>
      </c>
      <c r="D4" s="91" t="s">
        <v>6</v>
      </c>
      <c r="E4" s="91" t="s">
        <v>7</v>
      </c>
      <c r="F4" s="92" t="s">
        <v>8</v>
      </c>
      <c r="G4" s="92" t="s">
        <v>9</v>
      </c>
      <c r="H4" s="93" t="s">
        <v>10</v>
      </c>
      <c r="I4" s="94" t="s">
        <v>11</v>
      </c>
      <c r="J4" s="90" t="s">
        <v>12</v>
      </c>
      <c r="K4" s="90" t="s">
        <v>13</v>
      </c>
      <c r="L4" s="90" t="s">
        <v>14</v>
      </c>
      <c r="M4" s="95" t="s">
        <v>15</v>
      </c>
      <c r="N4" s="90" t="s">
        <v>16</v>
      </c>
      <c r="O4" s="90" t="s">
        <v>17</v>
      </c>
      <c r="P4" s="90" t="s">
        <v>18</v>
      </c>
      <c r="Q4" s="96" t="s">
        <v>19</v>
      </c>
      <c r="R4" s="97" t="s">
        <v>20</v>
      </c>
      <c r="S4" s="89" t="s">
        <v>21</v>
      </c>
      <c r="T4" s="85"/>
    </row>
    <row r="5" ht="18" customHeight="1" spans="1:20" x14ac:dyDescent="0.25">
      <c r="A5" s="98">
        <v>1</v>
      </c>
      <c r="B5" s="99" t="s">
        <v>182</v>
      </c>
      <c r="C5" s="98" t="s">
        <v>183</v>
      </c>
      <c r="D5" s="98" t="s">
        <v>143</v>
      </c>
      <c r="E5" s="98">
        <v>30</v>
      </c>
      <c r="F5" s="100">
        <v>9044.12</v>
      </c>
      <c r="G5" s="101">
        <f t="shared" ref="G5:G25" si="0">+F5/30*E5</f>
        <v>9044.12</v>
      </c>
      <c r="H5" s="102">
        <f>4088+3858+3631</f>
        <v>11577</v>
      </c>
      <c r="I5" s="103">
        <f>2788.86</f>
        <v>2788.86</v>
      </c>
      <c r="J5" s="104">
        <f t="shared" ref="J5:J25" si="1">G5+H5+I5</f>
        <v>23409.980000000003</v>
      </c>
      <c r="K5" s="105">
        <f t="shared" ref="K5:K25" si="2">G5+H5+I5</f>
        <v>23409.980000000003</v>
      </c>
      <c r="L5" s="101">
        <f t="shared" ref="L5:L25" si="3">IF(K5&lt;=2000,(0),IF(K5&lt;=4000,(K5*0.15)-300,IF(K5&lt;=7000,(K5*0.2)-500,IF(K5&lt;=10000,(K5*0.25)-850,IF(K5&lt;=14000,(K5*0.3)-1350,IF(K5&gt;14000,(K5*0.35)-2050))))))</f>
        <v>6143.493</v>
      </c>
      <c r="M5" s="105">
        <f t="shared" ref="M5:M9" si="4">F5*0.07</f>
        <v>633.0884000000001</v>
      </c>
      <c r="N5" s="105">
        <f t="shared" ref="N5:N9" si="5">F5*0.11</f>
        <v>994.8532000000001</v>
      </c>
      <c r="O5" s="104"/>
      <c r="P5" s="101">
        <f t="shared" ref="P5:P25" si="6">L5+M5+O5</f>
        <v>6776.581400000001</v>
      </c>
      <c r="Q5" s="106">
        <v>1500</v>
      </c>
      <c r="R5" s="101">
        <f t="shared" ref="R5:R25" si="7">J5-P5+Q5</f>
        <v>18133.3986</v>
      </c>
      <c r="S5" s="107"/>
      <c r="T5" s="85"/>
    </row>
    <row r="6" ht="19.95" customHeight="1" spans="1:20" s="108" customFormat="1" x14ac:dyDescent="0.25">
      <c r="A6" s="98">
        <v>3</v>
      </c>
      <c r="B6" s="99" t="s">
        <v>184</v>
      </c>
      <c r="C6" s="98" t="s">
        <v>183</v>
      </c>
      <c r="D6" s="98" t="s">
        <v>51</v>
      </c>
      <c r="E6" s="98">
        <v>30</v>
      </c>
      <c r="F6" s="100">
        <v>9044.12</v>
      </c>
      <c r="G6" s="101">
        <f>+F6/30*E6</f>
        <v>9044.12</v>
      </c>
      <c r="H6" s="109">
        <v>2393</v>
      </c>
      <c r="I6" s="103">
        <f>2788.86*0.5</f>
        <v>1394.43</v>
      </c>
      <c r="J6" s="104">
        <f>G6+H6+I6</f>
        <v>12831.550000000001</v>
      </c>
      <c r="K6" s="105">
        <f>G6+H6+I6</f>
        <v>12831.550000000001</v>
      </c>
      <c r="L6" s="101">
        <f>IF(K6&lt;=2000,(0),IF(K6&lt;=4000,(K6*0.15)-300,IF(K6&lt;=7000,(K6*0.2)-500,IF(K6&lt;=10000,(K6*0.25)-850,IF(K6&lt;=14000,(K6*0.3)-1350,IF(K6&gt;14000,(K6*0.35)-2050))))))</f>
        <v>2499.465</v>
      </c>
      <c r="M6" s="105">
        <f>F6*0.07</f>
        <v>633.0884000000001</v>
      </c>
      <c r="N6" s="105">
        <f>F6*0.11</f>
        <v>994.8532000000001</v>
      </c>
      <c r="O6" s="104"/>
      <c r="P6" s="101">
        <f>L6+M6+O6</f>
        <v>3132.5534000000002</v>
      </c>
      <c r="Q6" s="106">
        <v>1500</v>
      </c>
      <c r="R6" s="101">
        <f>J6-P6+Q6</f>
        <v>11198.9966</v>
      </c>
      <c r="S6" s="107"/>
      <c r="T6" s="108"/>
    </row>
    <row r="7" ht="22.2" customHeight="1" spans="1:20" s="110" customFormat="1" x14ac:dyDescent="0.25">
      <c r="A7" s="98">
        <v>5</v>
      </c>
      <c r="B7" s="99" t="s">
        <v>185</v>
      </c>
      <c r="C7" s="98" t="s">
        <v>183</v>
      </c>
      <c r="D7" s="98" t="s">
        <v>26</v>
      </c>
      <c r="E7" s="98">
        <v>30</v>
      </c>
      <c r="F7" s="100">
        <v>9044.12</v>
      </c>
      <c r="G7" s="101">
        <f t="shared" si="0"/>
        <v>9044.12</v>
      </c>
      <c r="H7" s="102">
        <f>14260+8984</f>
        <v>23244</v>
      </c>
      <c r="I7" s="103">
        <f>2788.86</f>
        <v>2788.86</v>
      </c>
      <c r="J7" s="104">
        <f t="shared" si="1"/>
        <v>35076.98</v>
      </c>
      <c r="K7" s="105">
        <f t="shared" si="2"/>
        <v>35076.98</v>
      </c>
      <c r="L7" s="101">
        <f t="shared" si="3"/>
        <v>10226.943000000001</v>
      </c>
      <c r="M7" s="105">
        <f t="shared" si="4"/>
        <v>633.0884000000001</v>
      </c>
      <c r="N7" s="105">
        <f t="shared" si="5"/>
        <v>994.8532000000001</v>
      </c>
      <c r="O7" s="104"/>
      <c r="P7" s="101">
        <f t="shared" si="6"/>
        <v>10860.031400000002</v>
      </c>
      <c r="Q7" s="106">
        <v>1500</v>
      </c>
      <c r="R7" s="101">
        <f>J7-P7+Q7</f>
        <v>25716.948600000003</v>
      </c>
      <c r="S7" s="107"/>
      <c r="T7" s="111"/>
    </row>
    <row r="8" ht="22.2" customHeight="1" spans="1:20" s="110" customFormat="1" x14ac:dyDescent="0.25">
      <c r="A8" s="98">
        <v>6</v>
      </c>
      <c r="B8" s="99" t="s">
        <v>186</v>
      </c>
      <c r="C8" s="98" t="s">
        <v>187</v>
      </c>
      <c r="D8" s="98" t="s">
        <v>24</v>
      </c>
      <c r="E8" s="98">
        <v>30</v>
      </c>
      <c r="F8" s="100">
        <v>9044.12</v>
      </c>
      <c r="G8" s="101">
        <f>+F8/30*E8</f>
        <v>9044.12</v>
      </c>
      <c r="H8" s="102">
        <f>3245+5462</f>
        <v>8707</v>
      </c>
      <c r="I8" s="103">
        <f>2788.86*0.5</f>
        <v>1394.43</v>
      </c>
      <c r="J8" s="104">
        <f>G8+H8+I8</f>
        <v>19145.550000000003</v>
      </c>
      <c r="K8" s="105">
        <f>G8+H8+I8</f>
        <v>19145.550000000003</v>
      </c>
      <c r="L8" s="101">
        <f>IF(K8&lt;=2000,(0),IF(K8&lt;=4000,(K8*0.15)-300,IF(K8&lt;=7000,(K8*0.2)-500,IF(K8&lt;=10000,(K8*0.25)-850,IF(K8&lt;=14000,(K8*0.3)-1350,IF(K8&gt;14000,(K8*0.35)-2050))))))</f>
        <v>4650.942500000001</v>
      </c>
      <c r="M8" s="112">
        <f t="shared" ref="M8" si="8">F8*0.07</f>
        <v>633.0884000000001</v>
      </c>
      <c r="N8" s="112">
        <f t="shared" ref="N8" si="9">F8*0.11</f>
        <v>994.8532000000001</v>
      </c>
      <c r="O8" s="104"/>
      <c r="P8" s="101">
        <f>L8+M8+O8</f>
        <v>5284.030900000002</v>
      </c>
      <c r="Q8" s="106">
        <v>1500</v>
      </c>
      <c r="R8" s="101">
        <f>J8-P8+Q8</f>
        <v>15361.519100000001</v>
      </c>
      <c r="S8" s="107"/>
      <c r="T8" s="111"/>
    </row>
    <row r="9" ht="22.2" customHeight="1" spans="1:20" s="110" customFormat="1" x14ac:dyDescent="0.25">
      <c r="A9" s="98">
        <v>7</v>
      </c>
      <c r="B9" s="99" t="s">
        <v>188</v>
      </c>
      <c r="C9" s="98" t="s">
        <v>187</v>
      </c>
      <c r="D9" s="98" t="s">
        <v>60</v>
      </c>
      <c r="E9" s="98">
        <v>30</v>
      </c>
      <c r="F9" s="100">
        <v>9044.12</v>
      </c>
      <c r="G9" s="101">
        <f t="shared" si="0"/>
        <v>9044.12</v>
      </c>
      <c r="H9" s="102">
        <f>5491+5190</f>
        <v>10681</v>
      </c>
      <c r="I9" s="103">
        <f>2788.86*0.5</f>
        <v>1394.43</v>
      </c>
      <c r="J9" s="104">
        <f t="shared" si="1"/>
        <v>21119.550000000003</v>
      </c>
      <c r="K9" s="105">
        <f t="shared" si="2"/>
        <v>21119.550000000003</v>
      </c>
      <c r="L9" s="101">
        <f t="shared" si="3"/>
        <v>5341.842500000001</v>
      </c>
      <c r="M9" s="105">
        <f t="shared" si="4"/>
        <v>633.0884000000001</v>
      </c>
      <c r="N9" s="105">
        <f t="shared" si="5"/>
        <v>994.8532000000001</v>
      </c>
      <c r="O9" s="104"/>
      <c r="P9" s="101">
        <f t="shared" si="6"/>
        <v>5974.930900000001</v>
      </c>
      <c r="Q9" s="106">
        <v>1500</v>
      </c>
      <c r="R9" s="101">
        <f t="shared" si="7"/>
        <v>16644.619100000004</v>
      </c>
      <c r="S9" s="107"/>
      <c r="T9" s="111"/>
    </row>
    <row r="10" ht="22.2" customHeight="1" spans="1:20" s="110" customFormat="1" x14ac:dyDescent="0.25">
      <c r="A10" s="98">
        <v>10</v>
      </c>
      <c r="B10" s="99" t="s">
        <v>189</v>
      </c>
      <c r="C10" s="98" t="s">
        <v>183</v>
      </c>
      <c r="D10" s="98" t="s">
        <v>190</v>
      </c>
      <c r="E10" s="98">
        <v>30</v>
      </c>
      <c r="F10" s="100">
        <v>9044.12</v>
      </c>
      <c r="G10" s="101">
        <f t="shared" si="0"/>
        <v>9044.12</v>
      </c>
      <c r="H10" s="102">
        <f>2803+4959</f>
        <v>7762</v>
      </c>
      <c r="I10" s="103">
        <f>2788.86*0.5</f>
        <v>1394.43</v>
      </c>
      <c r="J10" s="104">
        <f t="shared" si="1"/>
        <v>18200.550000000003</v>
      </c>
      <c r="K10" s="105">
        <f t="shared" si="2"/>
        <v>18200.550000000003</v>
      </c>
      <c r="L10" s="101">
        <f t="shared" si="3"/>
        <v>4320.192500000001</v>
      </c>
      <c r="M10" s="105">
        <f>F10*0.07</f>
        <v>633.0884000000001</v>
      </c>
      <c r="N10" s="105">
        <f>F10*0.11</f>
        <v>994.8532000000001</v>
      </c>
      <c r="O10" s="104"/>
      <c r="P10" s="101">
        <f t="shared" si="6"/>
        <v>4953.280900000002</v>
      </c>
      <c r="Q10" s="106">
        <v>1500</v>
      </c>
      <c r="R10" s="101">
        <f t="shared" si="7"/>
        <v>14747.269100000001</v>
      </c>
      <c r="S10" s="107"/>
      <c r="T10" s="111"/>
    </row>
    <row r="11" ht="22.2" customHeight="1" spans="1:20" s="110" customFormat="1" x14ac:dyDescent="0.25">
      <c r="A11" s="98">
        <v>11</v>
      </c>
      <c r="B11" s="99" t="s">
        <v>191</v>
      </c>
      <c r="C11" s="98" t="s">
        <v>187</v>
      </c>
      <c r="D11" s="98" t="s">
        <v>38</v>
      </c>
      <c r="E11" s="98">
        <v>30</v>
      </c>
      <c r="F11" s="100">
        <v>9044.12</v>
      </c>
      <c r="G11" s="101">
        <f>+F11/30*E11</f>
        <v>9044.12</v>
      </c>
      <c r="H11" s="103">
        <f>1748+3357</f>
        <v>5105</v>
      </c>
      <c r="I11" s="103"/>
      <c r="J11" s="104">
        <f>G11+H11+I11</f>
        <v>14149.12</v>
      </c>
      <c r="K11" s="105">
        <f>G11+H11+I11</f>
        <v>14149.12</v>
      </c>
      <c r="L11" s="101">
        <f>IF(K11&lt;=2000,(0),IF(K11&lt;=4000,(K11*0.15)-300,IF(K11&lt;=7000,(K11*0.2)-500,IF(K11&lt;=10000,(K11*0.25)-850,IF(K11&lt;=14000,(K11*0.3)-1350,IF(K11&gt;14000,(K11*0.35)-2050))))))</f>
        <v>2902.192</v>
      </c>
      <c r="M11" s="105"/>
      <c r="N11" s="105"/>
      <c r="O11" s="104"/>
      <c r="P11" s="101">
        <f>L11+M11+O11</f>
        <v>2902.192</v>
      </c>
      <c r="Q11" s="106"/>
      <c r="R11" s="101">
        <f>J11-P11+Q11</f>
        <v>11246.928</v>
      </c>
      <c r="S11" s="107"/>
      <c r="T11" s="111"/>
    </row>
    <row r="12" ht="22.2" customHeight="1" spans="1:20" s="110" customFormat="1" x14ac:dyDescent="0.25">
      <c r="A12" s="98">
        <v>12</v>
      </c>
      <c r="B12" s="99" t="s">
        <v>192</v>
      </c>
      <c r="C12" s="98" t="s">
        <v>183</v>
      </c>
      <c r="D12" s="98" t="s">
        <v>35</v>
      </c>
      <c r="E12" s="98">
        <v>24</v>
      </c>
      <c r="F12" s="100">
        <v>9044.12</v>
      </c>
      <c r="G12" s="101">
        <f t="shared" si="0"/>
        <v>7235.296000000001</v>
      </c>
      <c r="H12" s="102">
        <f>7373+4580</f>
        <v>11953</v>
      </c>
      <c r="I12" s="103">
        <f>2788.86*0.5</f>
        <v>1394.43</v>
      </c>
      <c r="J12" s="104">
        <f t="shared" si="1"/>
        <v>20582.726000000002</v>
      </c>
      <c r="K12" s="105">
        <f t="shared" si="2"/>
        <v>20582.726000000002</v>
      </c>
      <c r="L12" s="101">
        <f t="shared" si="3"/>
        <v>5153.9541</v>
      </c>
      <c r="M12" s="105">
        <f t="shared" ref="M12:M19" si="10">F12*0.07</f>
        <v>633.0884000000001</v>
      </c>
      <c r="N12" s="105">
        <f t="shared" ref="N12:N19" si="11">F12*0.11</f>
        <v>994.8532000000001</v>
      </c>
      <c r="O12" s="104"/>
      <c r="P12" s="101">
        <f t="shared" si="6"/>
        <v>5787.0425</v>
      </c>
      <c r="Q12" s="106">
        <v>1500</v>
      </c>
      <c r="R12" s="101">
        <f t="shared" si="7"/>
        <v>16295.683500000003</v>
      </c>
      <c r="S12" s="107"/>
      <c r="T12" s="111"/>
    </row>
    <row r="13" ht="22.2" customHeight="1" spans="1:20" s="113" customFormat="1" x14ac:dyDescent="0.25">
      <c r="A13" s="98">
        <v>13</v>
      </c>
      <c r="B13" s="99" t="s">
        <v>193</v>
      </c>
      <c r="C13" s="98" t="s">
        <v>187</v>
      </c>
      <c r="D13" s="98" t="s">
        <v>43</v>
      </c>
      <c r="E13" s="98">
        <v>30</v>
      </c>
      <c r="F13" s="100">
        <v>8007.94</v>
      </c>
      <c r="G13" s="101">
        <f t="shared" si="0"/>
        <v>8007.94</v>
      </c>
      <c r="H13" s="102"/>
      <c r="I13" s="106">
        <v>2519.64</v>
      </c>
      <c r="J13" s="104">
        <f t="shared" si="1"/>
        <v>10527.58</v>
      </c>
      <c r="K13" s="105">
        <f t="shared" si="2"/>
        <v>10527.58</v>
      </c>
      <c r="L13" s="101">
        <f t="shared" si="3"/>
        <v>1808.274</v>
      </c>
      <c r="M13" s="105">
        <f t="shared" si="10"/>
        <v>560.5558</v>
      </c>
      <c r="N13" s="105">
        <f t="shared" si="11"/>
        <v>880.8734</v>
      </c>
      <c r="O13" s="104"/>
      <c r="P13" s="101">
        <f t="shared" si="6"/>
        <v>2368.8298</v>
      </c>
      <c r="Q13" s="106">
        <v>1000</v>
      </c>
      <c r="R13" s="101">
        <f t="shared" si="7"/>
        <v>9158.7502</v>
      </c>
      <c r="S13" s="107"/>
      <c r="T13" s="114"/>
    </row>
    <row r="14" ht="22.2" customHeight="1" spans="1:20" s="110" customFormat="1" x14ac:dyDescent="0.25">
      <c r="A14" s="98">
        <v>15</v>
      </c>
      <c r="B14" s="99" t="s">
        <v>194</v>
      </c>
      <c r="C14" s="98" t="s">
        <v>187</v>
      </c>
      <c r="D14" s="98" t="s">
        <v>26</v>
      </c>
      <c r="E14" s="98">
        <v>30</v>
      </c>
      <c r="F14" s="100">
        <v>4794.52</v>
      </c>
      <c r="G14" s="101">
        <f t="shared" si="0"/>
        <v>4794.52</v>
      </c>
      <c r="H14" s="102"/>
      <c r="I14" s="106">
        <f>2519.64</f>
        <v>2519.64</v>
      </c>
      <c r="J14" s="104">
        <f t="shared" si="1"/>
        <v>7314.16</v>
      </c>
      <c r="K14" s="105">
        <f t="shared" si="2"/>
        <v>7314.16</v>
      </c>
      <c r="L14" s="101">
        <f t="shared" si="3"/>
        <v>978.54</v>
      </c>
      <c r="M14" s="105">
        <f t="shared" si="10"/>
        <v>335.61640000000006</v>
      </c>
      <c r="N14" s="105">
        <f t="shared" si="11"/>
        <v>527.3972</v>
      </c>
      <c r="O14" s="104"/>
      <c r="P14" s="101">
        <f t="shared" si="6"/>
        <v>1314.1564</v>
      </c>
      <c r="Q14" s="106">
        <v>1000</v>
      </c>
      <c r="R14" s="101">
        <f t="shared" si="7"/>
        <v>7000.0036</v>
      </c>
      <c r="S14" s="107"/>
      <c r="T14" s="111"/>
    </row>
    <row r="15" ht="21.6" customHeight="1" spans="1:20" s="115" customFormat="1" x14ac:dyDescent="0.25">
      <c r="A15" s="98">
        <v>18</v>
      </c>
      <c r="B15" s="116" t="s">
        <v>195</v>
      </c>
      <c r="C15" s="98" t="s">
        <v>187</v>
      </c>
      <c r="D15" s="98" t="s">
        <v>71</v>
      </c>
      <c r="E15" s="98">
        <v>7</v>
      </c>
      <c r="F15" s="100">
        <v>9045.12</v>
      </c>
      <c r="G15" s="101">
        <f t="shared" ref="G15" si="12">+F15/30*E15</f>
        <v>2110.5280000000002</v>
      </c>
      <c r="H15" s="102"/>
      <c r="I15" s="117"/>
      <c r="J15" s="104">
        <f t="shared" ref="J15" si="13">G15+H15+I15</f>
        <v>2110.5280000000002</v>
      </c>
      <c r="K15" s="105">
        <f t="shared" ref="K15" si="14">G15+H15+I15</f>
        <v>2110.5280000000002</v>
      </c>
      <c r="L15" s="101">
        <f t="shared" ref="L15" si="15">IF(K15&lt;=2000,(0),IF(K15&lt;=4000,(K15*0.15)-300,IF(K15&lt;=7000,(K15*0.2)-500,IF(K15&lt;=10000,(K15*0.25)-850,IF(K15&lt;=14000,(K15*0.3)-1350,IF(K15&gt;14000,(K15*0.35)-2050))))))</f>
        <v>16.579200000000014</v>
      </c>
      <c r="M15" s="105"/>
      <c r="N15" s="105"/>
      <c r="O15" s="104"/>
      <c r="P15" s="101">
        <f t="shared" ref="P15" si="16">L15+M15+O15</f>
        <v>16.579200000000014</v>
      </c>
      <c r="Q15" s="117"/>
      <c r="R15" s="101">
        <f t="shared" ref="R15" si="17">J15-P15+Q15</f>
        <v>2093.9488</v>
      </c>
      <c r="S15" s="107"/>
      <c r="T15" s="27"/>
    </row>
    <row r="16" ht="22.2" customHeight="1" spans="1:20" s="110" customFormat="1" x14ac:dyDescent="0.25">
      <c r="A16" s="98">
        <v>21</v>
      </c>
      <c r="B16" s="99" t="s">
        <v>196</v>
      </c>
      <c r="C16" s="98" t="s">
        <v>187</v>
      </c>
      <c r="D16" s="98" t="s">
        <v>53</v>
      </c>
      <c r="E16" s="98">
        <v>30</v>
      </c>
      <c r="F16" s="100">
        <v>9044.12</v>
      </c>
      <c r="G16" s="101">
        <f t="shared" si="0"/>
        <v>9044.12</v>
      </c>
      <c r="H16" s="102">
        <f>2735+2692</f>
        <v>5427</v>
      </c>
      <c r="I16" s="103">
        <f>2788.86*0.5</f>
        <v>1394.43</v>
      </c>
      <c r="J16" s="104">
        <f t="shared" si="1"/>
        <v>15865.550000000001</v>
      </c>
      <c r="K16" s="105">
        <f t="shared" si="2"/>
        <v>15865.550000000001</v>
      </c>
      <c r="L16" s="101">
        <f t="shared" si="3"/>
        <v>3502.9425</v>
      </c>
      <c r="M16" s="105">
        <f t="shared" si="10"/>
        <v>633.0884000000001</v>
      </c>
      <c r="N16" s="105">
        <f t="shared" si="11"/>
        <v>994.8532000000001</v>
      </c>
      <c r="O16" s="104"/>
      <c r="P16" s="101">
        <f t="shared" si="6"/>
        <v>4136.0309</v>
      </c>
      <c r="Q16" s="106">
        <v>1500</v>
      </c>
      <c r="R16" s="101">
        <f t="shared" si="7"/>
        <v>13229.519100000001</v>
      </c>
      <c r="S16" s="107"/>
      <c r="T16" s="111"/>
    </row>
    <row r="17" ht="22.2" customHeight="1" spans="1:20" s="110" customFormat="1" x14ac:dyDescent="0.25">
      <c r="A17" s="98">
        <v>22</v>
      </c>
      <c r="B17" s="99" t="s">
        <v>197</v>
      </c>
      <c r="C17" s="98" t="s">
        <v>187</v>
      </c>
      <c r="D17" s="98" t="s">
        <v>35</v>
      </c>
      <c r="E17" s="98">
        <v>30</v>
      </c>
      <c r="F17" s="100">
        <v>4794.52</v>
      </c>
      <c r="G17" s="101">
        <f t="shared" si="0"/>
        <v>4794.52</v>
      </c>
      <c r="H17" s="102">
        <f>'Performance Summary'!K4</f>
        <v>3249.81</v>
      </c>
      <c r="I17" s="106">
        <f>2519.64</f>
        <v>2519.64</v>
      </c>
      <c r="J17" s="104">
        <f t="shared" si="1"/>
        <v>10563.97</v>
      </c>
      <c r="K17" s="105">
        <f t="shared" si="2"/>
        <v>10563.97</v>
      </c>
      <c r="L17" s="101">
        <f t="shared" si="3"/>
        <v>1819.1909999999998</v>
      </c>
      <c r="M17" s="105">
        <f t="shared" si="10"/>
        <v>335.61640000000006</v>
      </c>
      <c r="N17" s="105">
        <f t="shared" si="11"/>
        <v>527.3972</v>
      </c>
      <c r="O17" s="104"/>
      <c r="P17" s="101">
        <f t="shared" si="6"/>
        <v>2154.8073999999997</v>
      </c>
      <c r="Q17" s="106">
        <v>1000</v>
      </c>
      <c r="R17" s="101">
        <f t="shared" si="7"/>
        <v>9409.1626</v>
      </c>
      <c r="S17" s="107"/>
      <c r="T17" s="111"/>
    </row>
    <row r="18" ht="22.2" customHeight="1" spans="1:20" s="118" customFormat="1" x14ac:dyDescent="0.25">
      <c r="A18" s="98">
        <v>23</v>
      </c>
      <c r="B18" s="99" t="s">
        <v>198</v>
      </c>
      <c r="C18" s="98" t="s">
        <v>187</v>
      </c>
      <c r="D18" s="98" t="s">
        <v>62</v>
      </c>
      <c r="E18" s="98">
        <v>30</v>
      </c>
      <c r="F18" s="100">
        <v>4794.52</v>
      </c>
      <c r="G18" s="101">
        <f t="shared" si="0"/>
        <v>4794.52</v>
      </c>
      <c r="H18" s="102"/>
      <c r="I18" s="106">
        <f>2519.64</f>
        <v>2519.64</v>
      </c>
      <c r="J18" s="104">
        <f t="shared" si="1"/>
        <v>7314.16</v>
      </c>
      <c r="K18" s="105">
        <f t="shared" si="2"/>
        <v>7314.16</v>
      </c>
      <c r="L18" s="101">
        <f t="shared" si="3"/>
        <v>978.54</v>
      </c>
      <c r="M18" s="105">
        <f t="shared" si="10"/>
        <v>335.61640000000006</v>
      </c>
      <c r="N18" s="105">
        <f t="shared" si="11"/>
        <v>527.3972</v>
      </c>
      <c r="O18" s="104"/>
      <c r="P18" s="101">
        <f t="shared" si="6"/>
        <v>1314.1564</v>
      </c>
      <c r="Q18" s="106">
        <v>1000</v>
      </c>
      <c r="R18" s="101">
        <f t="shared" si="7"/>
        <v>7000.0036</v>
      </c>
      <c r="S18" s="107"/>
      <c r="T18" s="119"/>
    </row>
    <row r="19" ht="22.2" customHeight="1" spans="1:20" s="118" customFormat="1" x14ac:dyDescent="0.25">
      <c r="A19" s="98">
        <v>24</v>
      </c>
      <c r="B19" s="99" t="s">
        <v>199</v>
      </c>
      <c r="C19" s="98" t="s">
        <v>187</v>
      </c>
      <c r="D19" s="98" t="s">
        <v>26</v>
      </c>
      <c r="E19" s="98">
        <v>30</v>
      </c>
      <c r="F19" s="100">
        <v>9044.12</v>
      </c>
      <c r="G19" s="101">
        <f t="shared" si="0"/>
        <v>9044.12</v>
      </c>
      <c r="H19" s="102">
        <f>281+5231</f>
        <v>5512</v>
      </c>
      <c r="I19" s="103">
        <f>2788.86</f>
        <v>2788.86</v>
      </c>
      <c r="J19" s="104">
        <f t="shared" si="1"/>
        <v>17344.98</v>
      </c>
      <c r="K19" s="105">
        <f t="shared" si="2"/>
        <v>17344.98</v>
      </c>
      <c r="L19" s="101">
        <f t="shared" si="3"/>
        <v>4020.7429999999995</v>
      </c>
      <c r="M19" s="105">
        <f t="shared" si="10"/>
        <v>633.0884000000001</v>
      </c>
      <c r="N19" s="105">
        <f t="shared" si="11"/>
        <v>994.8532000000001</v>
      </c>
      <c r="O19" s="104"/>
      <c r="P19" s="101">
        <f t="shared" si="6"/>
        <v>4653.831399999999</v>
      </c>
      <c r="Q19" s="106">
        <v>1500</v>
      </c>
      <c r="R19" s="101">
        <f t="shared" si="7"/>
        <v>14191.1486</v>
      </c>
      <c r="S19" s="107"/>
      <c r="T19" s="119"/>
    </row>
    <row r="20" ht="21" customHeight="1" spans="1:20" s="120" customFormat="1" x14ac:dyDescent="0.25">
      <c r="A20" s="98">
        <v>27</v>
      </c>
      <c r="B20" s="121" t="s">
        <v>200</v>
      </c>
      <c r="C20" s="122" t="s">
        <v>187</v>
      </c>
      <c r="D20" s="122" t="s">
        <v>201</v>
      </c>
      <c r="E20" s="122">
        <v>30</v>
      </c>
      <c r="F20" s="123">
        <v>6164.38</v>
      </c>
      <c r="G20" s="101">
        <f t="shared" si="0"/>
        <v>6164.38</v>
      </c>
      <c r="H20" s="124">
        <f>7313+4857</f>
        <v>12170</v>
      </c>
      <c r="I20" s="109">
        <v>2610.96</v>
      </c>
      <c r="J20" s="104">
        <f t="shared" si="1"/>
        <v>20945.34</v>
      </c>
      <c r="K20" s="105">
        <f t="shared" si="2"/>
        <v>20945.34</v>
      </c>
      <c r="L20" s="101">
        <f t="shared" si="3"/>
        <v>5280.869</v>
      </c>
      <c r="M20" s="105">
        <f>F20*0.07</f>
        <v>431.50660000000005</v>
      </c>
      <c r="N20" s="105">
        <f>F20*0.11</f>
        <v>678.0818</v>
      </c>
      <c r="O20" s="125"/>
      <c r="P20" s="101">
        <f t="shared" si="6"/>
        <v>5712.375599999999</v>
      </c>
      <c r="Q20" s="103">
        <v>1500</v>
      </c>
      <c r="R20" s="101">
        <f t="shared" si="7"/>
        <v>16732.9644</v>
      </c>
      <c r="S20" s="107"/>
      <c r="T20" s="126"/>
    </row>
    <row r="21" ht="21" customHeight="1" spans="1:20" s="127" customFormat="1" x14ac:dyDescent="0.25">
      <c r="A21" s="98">
        <v>28</v>
      </c>
      <c r="B21" s="128" t="s">
        <v>202</v>
      </c>
      <c r="C21" s="129" t="s">
        <v>187</v>
      </c>
      <c r="D21" s="129" t="s">
        <v>203</v>
      </c>
      <c r="E21" s="129">
        <v>30</v>
      </c>
      <c r="F21" s="130">
        <v>6164.38</v>
      </c>
      <c r="G21" s="124">
        <f t="shared" si="0"/>
        <v>6164.38</v>
      </c>
      <c r="H21" s="131">
        <f>9434+4689</f>
        <v>14123</v>
      </c>
      <c r="I21" s="109">
        <v>2610.96</v>
      </c>
      <c r="J21" s="132">
        <f t="shared" si="1"/>
        <v>22898.34</v>
      </c>
      <c r="K21" s="133">
        <f t="shared" si="2"/>
        <v>22898.34</v>
      </c>
      <c r="L21" s="131">
        <f t="shared" si="3"/>
        <v>5964.419</v>
      </c>
      <c r="M21" s="133">
        <f>F21*0.07</f>
        <v>431.50660000000005</v>
      </c>
      <c r="N21" s="133">
        <f>F21*0.11</f>
        <v>678.0818</v>
      </c>
      <c r="O21" s="132"/>
      <c r="P21" s="131">
        <f t="shared" si="6"/>
        <v>6395.9256</v>
      </c>
      <c r="Q21" s="103">
        <v>1500</v>
      </c>
      <c r="R21" s="131">
        <f t="shared" si="7"/>
        <v>18002.4144</v>
      </c>
      <c r="S21" s="107"/>
      <c r="T21" s="134"/>
    </row>
    <row r="22" ht="21" customHeight="1" spans="1:20" s="127" customFormat="1" x14ac:dyDescent="0.25">
      <c r="A22" s="98">
        <v>29</v>
      </c>
      <c r="B22" s="135" t="s">
        <v>204</v>
      </c>
      <c r="C22" s="122" t="s">
        <v>187</v>
      </c>
      <c r="D22" s="122" t="s">
        <v>203</v>
      </c>
      <c r="E22" s="122">
        <v>8</v>
      </c>
      <c r="F22" s="123">
        <v>6164.38</v>
      </c>
      <c r="G22" s="101">
        <f t="shared" si="0"/>
        <v>1643.8346666666666</v>
      </c>
      <c r="H22" s="124">
        <f>2074</f>
        <v>2074</v>
      </c>
      <c r="I22" s="103">
        <f>1277.63*0</f>
        <v>0</v>
      </c>
      <c r="J22" s="104">
        <f t="shared" si="1"/>
        <v>3717.8346666666666</v>
      </c>
      <c r="K22" s="105">
        <f t="shared" si="2"/>
        <v>3717.8346666666666</v>
      </c>
      <c r="L22" s="101">
        <f t="shared" si="3"/>
        <v>257.6752</v>
      </c>
      <c r="M22" s="105">
        <f>F22*0.07</f>
        <v>431.50660000000005</v>
      </c>
      <c r="N22" s="105">
        <f>F22*0.11</f>
        <v>678.0818</v>
      </c>
      <c r="O22" s="125"/>
      <c r="P22" s="101">
        <f t="shared" si="6"/>
        <v>689.1818000000001</v>
      </c>
      <c r="Q22" s="103">
        <f>1500*0</f>
        <v>0</v>
      </c>
      <c r="R22" s="101">
        <f t="shared" si="7"/>
        <v>3028.6528666666663</v>
      </c>
      <c r="S22" s="107"/>
      <c r="T22" s="134"/>
    </row>
    <row r="23" ht="21" customHeight="1" spans="1:20" s="127" customFormat="1" x14ac:dyDescent="0.25">
      <c r="A23" s="98">
        <v>30</v>
      </c>
      <c r="B23" s="136" t="s">
        <v>205</v>
      </c>
      <c r="C23" s="122" t="s">
        <v>187</v>
      </c>
      <c r="D23" s="122" t="s">
        <v>203</v>
      </c>
      <c r="E23" s="122">
        <v>30</v>
      </c>
      <c r="F23" s="123">
        <v>6164.38</v>
      </c>
      <c r="G23" s="101">
        <f t="shared" ref="G23" si="18">+F23/30*E23</f>
        <v>6164.38</v>
      </c>
      <c r="H23" s="124">
        <v>4685</v>
      </c>
      <c r="I23" s="109">
        <v>2610.96</v>
      </c>
      <c r="J23" s="104">
        <f t="shared" ref="J23" si="19">G23+H23+I23</f>
        <v>13460.34</v>
      </c>
      <c r="K23" s="105">
        <f t="shared" ref="K23" si="20">G23+H23+I23</f>
        <v>13460.34</v>
      </c>
      <c r="L23" s="101">
        <f t="shared" ref="L23" si="21">IF(K23&lt;=2000,(0),IF(K23&lt;=4000,(K23*0.15)-300,IF(K23&lt;=7000,(K23*0.2)-500,IF(K23&lt;=10000,(K23*0.25)-850,IF(K23&lt;=14000,(K23*0.3)-1350,IF(K23&gt;14000,(K23*0.35)-2050))))))</f>
        <v>2688.102</v>
      </c>
      <c r="M23" s="105"/>
      <c r="N23" s="105"/>
      <c r="O23" s="125"/>
      <c r="P23" s="101">
        <f t="shared" ref="P23" si="22">L23+M23+O23</f>
        <v>2688.102</v>
      </c>
      <c r="Q23" s="103">
        <v>1500</v>
      </c>
      <c r="R23" s="101">
        <f t="shared" ref="R23" si="23">J23-P23+Q23</f>
        <v>12272.238000000001</v>
      </c>
      <c r="S23" s="107"/>
      <c r="T23" s="134"/>
    </row>
    <row r="24" ht="21" customHeight="1" spans="1:20" x14ac:dyDescent="0.25">
      <c r="A24" s="98">
        <v>31</v>
      </c>
      <c r="B24" s="121" t="s">
        <v>206</v>
      </c>
      <c r="C24" s="122" t="s">
        <v>187</v>
      </c>
      <c r="D24" s="122" t="s">
        <v>207</v>
      </c>
      <c r="E24" s="122">
        <v>30</v>
      </c>
      <c r="F24" s="100">
        <v>9044.12</v>
      </c>
      <c r="G24" s="101">
        <f t="shared" si="0"/>
        <v>9044.12</v>
      </c>
      <c r="H24" s="102">
        <f>7534+7184</f>
        <v>14718</v>
      </c>
      <c r="I24" s="103">
        <f>2788.86</f>
        <v>2788.86</v>
      </c>
      <c r="J24" s="104">
        <f t="shared" si="1"/>
        <v>26550.980000000003</v>
      </c>
      <c r="K24" s="105">
        <f t="shared" si="2"/>
        <v>26550.980000000003</v>
      </c>
      <c r="L24" s="101">
        <f t="shared" si="3"/>
        <v>7242.843000000001</v>
      </c>
      <c r="M24" s="105">
        <f t="shared" ref="M24:M29" si="24">F24*0.07</f>
        <v>633.0884000000001</v>
      </c>
      <c r="N24" s="105">
        <f t="shared" ref="N24:N29" si="25">F24*0.11</f>
        <v>994.8532000000001</v>
      </c>
      <c r="O24" s="104"/>
      <c r="P24" s="101">
        <f t="shared" si="6"/>
        <v>7875.931400000001</v>
      </c>
      <c r="Q24" s="106">
        <v>1500</v>
      </c>
      <c r="R24" s="101">
        <f t="shared" si="7"/>
        <v>20175.048600000002</v>
      </c>
      <c r="S24" s="107"/>
      <c r="T24" s="137"/>
    </row>
    <row r="25" ht="21" customHeight="1" spans="1:20" x14ac:dyDescent="0.25">
      <c r="A25" s="98">
        <v>32</v>
      </c>
      <c r="B25" s="121" t="s">
        <v>208</v>
      </c>
      <c r="C25" s="122" t="s">
        <v>187</v>
      </c>
      <c r="D25" s="122" t="s">
        <v>207</v>
      </c>
      <c r="E25" s="122">
        <v>30</v>
      </c>
      <c r="F25" s="100">
        <v>9044.12</v>
      </c>
      <c r="G25" s="101">
        <f t="shared" si="0"/>
        <v>9044.12</v>
      </c>
      <c r="H25" s="102">
        <f>3766+8582+8893</f>
        <v>21241</v>
      </c>
      <c r="I25" s="103">
        <f>2788.86</f>
        <v>2788.86</v>
      </c>
      <c r="J25" s="104">
        <f t="shared" si="1"/>
        <v>33073.98</v>
      </c>
      <c r="K25" s="105">
        <f t="shared" si="2"/>
        <v>33073.98</v>
      </c>
      <c r="L25" s="101">
        <f t="shared" si="3"/>
        <v>9525.893</v>
      </c>
      <c r="M25" s="105">
        <f t="shared" si="24"/>
        <v>633.0884000000001</v>
      </c>
      <c r="N25" s="105">
        <f t="shared" si="25"/>
        <v>994.8532000000001</v>
      </c>
      <c r="O25" s="104"/>
      <c r="P25" s="101">
        <f t="shared" si="6"/>
        <v>10158.9814</v>
      </c>
      <c r="Q25" s="106">
        <v>1500</v>
      </c>
      <c r="R25" s="101">
        <f t="shared" si="7"/>
        <v>24414.998600000003</v>
      </c>
      <c r="S25" s="107"/>
      <c r="T25" s="137"/>
    </row>
    <row r="26" ht="21" customHeight="1" spans="1:20" x14ac:dyDescent="0.25">
      <c r="A26" s="98">
        <v>33</v>
      </c>
      <c r="B26" s="121" t="s">
        <v>209</v>
      </c>
      <c r="C26" s="122" t="s">
        <v>183</v>
      </c>
      <c r="D26" s="122" t="s">
        <v>210</v>
      </c>
      <c r="E26" s="122">
        <v>30</v>
      </c>
      <c r="F26" s="100">
        <v>9044.12</v>
      </c>
      <c r="G26" s="101">
        <f t="shared" ref="G26:G37" si="26">+F26/30*E26</f>
        <v>9044.12</v>
      </c>
      <c r="H26" s="102">
        <f>3929+6686</f>
        <v>10615</v>
      </c>
      <c r="I26" s="103">
        <f>2788.86</f>
        <v>2788.86</v>
      </c>
      <c r="J26" s="104">
        <f t="shared" ref="J26:J37" si="27">G26+H26+I26</f>
        <v>22447.980000000003</v>
      </c>
      <c r="K26" s="105">
        <f t="shared" ref="K26:K37" si="28">G26+H26+I26</f>
        <v>22447.980000000003</v>
      </c>
      <c r="L26" s="101">
        <f t="shared" ref="L26:L37" si="29">IF(K26&lt;=2000,(0),IF(K26&lt;=4000,(K26*0.15)-300,IF(K26&lt;=7000,(K26*0.2)-500,IF(K26&lt;=10000,(K26*0.25)-850,IF(K26&lt;=14000,(K26*0.3)-1350,IF(K26&gt;14000,(K26*0.35)-2050))))))</f>
        <v>5806.793000000001</v>
      </c>
      <c r="M26" s="105">
        <f t="shared" si="24"/>
        <v>633.0884000000001</v>
      </c>
      <c r="N26" s="105">
        <f t="shared" si="25"/>
        <v>994.8532000000001</v>
      </c>
      <c r="O26" s="104"/>
      <c r="P26" s="101">
        <f t="shared" ref="P26:P37" si="30">L26+M26+O26</f>
        <v>6439.8814</v>
      </c>
      <c r="Q26" s="106">
        <v>1500</v>
      </c>
      <c r="R26" s="101">
        <f t="shared" ref="R26:R37" si="31">J26-P26+Q26</f>
        <v>17508.098600000005</v>
      </c>
      <c r="S26" s="107"/>
      <c r="T26" s="137"/>
    </row>
    <row r="27" ht="21" customHeight="1" spans="1:20" x14ac:dyDescent="0.25">
      <c r="A27" s="98">
        <v>34</v>
      </c>
      <c r="B27" s="121" t="s">
        <v>211</v>
      </c>
      <c r="C27" s="122" t="s">
        <v>187</v>
      </c>
      <c r="D27" s="122" t="s">
        <v>210</v>
      </c>
      <c r="E27" s="122">
        <v>30</v>
      </c>
      <c r="F27" s="100">
        <v>9044.12</v>
      </c>
      <c r="G27" s="101">
        <f t="shared" si="26"/>
        <v>9044.12</v>
      </c>
      <c r="H27" s="102">
        <f>1454+2734</f>
        <v>4188</v>
      </c>
      <c r="I27" s="103">
        <f>2788.86</f>
        <v>2788.86</v>
      </c>
      <c r="J27" s="104">
        <f t="shared" si="27"/>
        <v>16020.980000000001</v>
      </c>
      <c r="K27" s="105">
        <f t="shared" si="28"/>
        <v>16020.980000000001</v>
      </c>
      <c r="L27" s="101">
        <f t="shared" si="29"/>
        <v>3557.343</v>
      </c>
      <c r="M27" s="105">
        <f t="shared" si="24"/>
        <v>633.0884000000001</v>
      </c>
      <c r="N27" s="105">
        <f t="shared" si="25"/>
        <v>994.8532000000001</v>
      </c>
      <c r="O27" s="104"/>
      <c r="P27" s="101">
        <f t="shared" si="30"/>
        <v>4190.4313999999995</v>
      </c>
      <c r="Q27" s="106">
        <v>1500</v>
      </c>
      <c r="R27" s="101">
        <f t="shared" si="31"/>
        <v>13330.548600000002</v>
      </c>
      <c r="S27" s="107"/>
      <c r="T27" s="137"/>
    </row>
    <row r="28" ht="21" customHeight="1" spans="1:20" x14ac:dyDescent="0.25">
      <c r="A28" s="98">
        <v>35</v>
      </c>
      <c r="B28" s="135" t="s">
        <v>212</v>
      </c>
      <c r="C28" s="122" t="s">
        <v>187</v>
      </c>
      <c r="D28" s="122" t="s">
        <v>213</v>
      </c>
      <c r="E28" s="122">
        <v>30</v>
      </c>
      <c r="F28" s="123">
        <v>6164.38</v>
      </c>
      <c r="G28" s="101">
        <f t="shared" si="26"/>
        <v>6164.38</v>
      </c>
      <c r="H28" s="124">
        <f>6204+4107</f>
        <v>10311</v>
      </c>
      <c r="I28" s="103">
        <f>1277.63*0</f>
        <v>0</v>
      </c>
      <c r="J28" s="104">
        <f t="shared" si="27"/>
        <v>16475.38</v>
      </c>
      <c r="K28" s="105">
        <f t="shared" si="28"/>
        <v>16475.38</v>
      </c>
      <c r="L28" s="101">
        <f t="shared" si="29"/>
        <v>3716.383</v>
      </c>
      <c r="M28" s="105">
        <f t="shared" si="24"/>
        <v>431.50660000000005</v>
      </c>
      <c r="N28" s="105">
        <f t="shared" si="25"/>
        <v>678.0818</v>
      </c>
      <c r="O28" s="125"/>
      <c r="P28" s="101">
        <f t="shared" si="30"/>
        <v>4147.8895999999995</v>
      </c>
      <c r="Q28" s="103"/>
      <c r="R28" s="101">
        <f t="shared" si="31"/>
        <v>12327.490400000002</v>
      </c>
      <c r="S28" s="107"/>
      <c r="T28" s="137"/>
    </row>
    <row r="29" ht="21" customHeight="1" spans="1:20" s="138" customFormat="1" x14ac:dyDescent="0.25">
      <c r="A29" s="98">
        <v>36</v>
      </c>
      <c r="B29" s="139" t="s">
        <v>214</v>
      </c>
      <c r="C29" s="140" t="s">
        <v>187</v>
      </c>
      <c r="D29" s="140" t="s">
        <v>215</v>
      </c>
      <c r="E29" s="140">
        <v>30</v>
      </c>
      <c r="F29" s="123">
        <v>6164.38</v>
      </c>
      <c r="G29" s="101">
        <f t="shared" si="26"/>
        <v>6164.38</v>
      </c>
      <c r="H29" s="124">
        <f>4673+4673</f>
        <v>9346</v>
      </c>
      <c r="I29" s="103">
        <v>1277.63</v>
      </c>
      <c r="J29" s="104">
        <f t="shared" si="27"/>
        <v>16788.010000000002</v>
      </c>
      <c r="K29" s="105">
        <f t="shared" si="28"/>
        <v>16788.010000000002</v>
      </c>
      <c r="L29" s="101">
        <f t="shared" si="29"/>
        <v>3825.8035</v>
      </c>
      <c r="M29" s="105">
        <f t="shared" si="24"/>
        <v>431.50660000000005</v>
      </c>
      <c r="N29" s="105">
        <f t="shared" si="25"/>
        <v>678.0818</v>
      </c>
      <c r="O29" s="125"/>
      <c r="P29" s="101">
        <f t="shared" si="30"/>
        <v>4257.3101</v>
      </c>
      <c r="Q29" s="103">
        <v>1500</v>
      </c>
      <c r="R29" s="101">
        <f t="shared" si="31"/>
        <v>14030.699900000003</v>
      </c>
      <c r="S29" s="107"/>
      <c r="T29" s="138"/>
    </row>
    <row r="30" ht="21" customHeight="1" spans="1:20" s="138" customFormat="1" x14ac:dyDescent="0.25">
      <c r="A30" s="98">
        <v>37</v>
      </c>
      <c r="B30" s="121" t="s">
        <v>216</v>
      </c>
      <c r="C30" s="122" t="s">
        <v>187</v>
      </c>
      <c r="D30" s="122" t="s">
        <v>217</v>
      </c>
      <c r="E30" s="122">
        <v>30</v>
      </c>
      <c r="F30" s="123">
        <v>6164.38</v>
      </c>
      <c r="G30" s="101">
        <f t="shared" si="26"/>
        <v>6164.38</v>
      </c>
      <c r="H30" s="124">
        <f>8143+8142</f>
        <v>16285</v>
      </c>
      <c r="I30" s="109">
        <v>2610.96</v>
      </c>
      <c r="J30" s="104">
        <f t="shared" si="27"/>
        <v>25060.34</v>
      </c>
      <c r="K30" s="105">
        <f t="shared" si="28"/>
        <v>25060.34</v>
      </c>
      <c r="L30" s="101">
        <f t="shared" si="29"/>
        <v>6721.118999999999</v>
      </c>
      <c r="M30" s="105">
        <f t="shared" ref="M30:M37" si="32">F30*0.07</f>
        <v>431.50660000000005</v>
      </c>
      <c r="N30" s="105">
        <f t="shared" ref="N30:N37" si="33">F30*0.11</f>
        <v>678.0818</v>
      </c>
      <c r="O30" s="125"/>
      <c r="P30" s="101">
        <f t="shared" si="30"/>
        <v>7152.6255999999985</v>
      </c>
      <c r="Q30" s="103">
        <v>1500</v>
      </c>
      <c r="R30" s="101">
        <f t="shared" si="31"/>
        <v>19407.7144</v>
      </c>
      <c r="S30" s="107"/>
      <c r="T30" s="141"/>
    </row>
    <row r="31" ht="21" customHeight="1" spans="1:20" s="138" customFormat="1" x14ac:dyDescent="0.25">
      <c r="A31" s="98">
        <v>38</v>
      </c>
      <c r="B31" s="121" t="s">
        <v>218</v>
      </c>
      <c r="C31" s="122" t="s">
        <v>187</v>
      </c>
      <c r="D31" s="122" t="s">
        <v>217</v>
      </c>
      <c r="E31" s="122">
        <v>30</v>
      </c>
      <c r="F31" s="123">
        <v>6164.38</v>
      </c>
      <c r="G31" s="101">
        <f t="shared" si="26"/>
        <v>6164.38</v>
      </c>
      <c r="H31" s="124">
        <f>25132+12496</f>
        <v>37628</v>
      </c>
      <c r="I31" s="109">
        <v>2610.96</v>
      </c>
      <c r="J31" s="104">
        <f t="shared" si="27"/>
        <v>46403.34</v>
      </c>
      <c r="K31" s="105">
        <f t="shared" si="28"/>
        <v>46403.34</v>
      </c>
      <c r="L31" s="101">
        <f t="shared" si="29"/>
        <v>14191.168999999998</v>
      </c>
      <c r="M31" s="105">
        <f t="shared" si="32"/>
        <v>431.50660000000005</v>
      </c>
      <c r="N31" s="105">
        <f t="shared" si="33"/>
        <v>678.0818</v>
      </c>
      <c r="O31" s="125"/>
      <c r="P31" s="101">
        <f t="shared" si="30"/>
        <v>14622.675599999999</v>
      </c>
      <c r="Q31" s="103">
        <v>1500</v>
      </c>
      <c r="R31" s="101">
        <f t="shared" si="31"/>
        <v>33280.664399999994</v>
      </c>
      <c r="S31" s="107"/>
      <c r="T31" s="141"/>
    </row>
    <row r="32" ht="21" customHeight="1" spans="1:20" s="138" customFormat="1" x14ac:dyDescent="0.25">
      <c r="A32" s="98">
        <v>39</v>
      </c>
      <c r="B32" s="142" t="s">
        <v>219</v>
      </c>
      <c r="C32" s="143" t="s">
        <v>187</v>
      </c>
      <c r="D32" s="143" t="s">
        <v>217</v>
      </c>
      <c r="E32" s="122">
        <v>30</v>
      </c>
      <c r="F32" s="123">
        <v>6164.38</v>
      </c>
      <c r="G32" s="101">
        <f t="shared" si="26"/>
        <v>6164.38</v>
      </c>
      <c r="H32" s="124">
        <f>21238+10576</f>
        <v>31814</v>
      </c>
      <c r="I32" s="109">
        <v>2610.96</v>
      </c>
      <c r="J32" s="104">
        <f t="shared" si="27"/>
        <v>40589.34</v>
      </c>
      <c r="K32" s="105">
        <f t="shared" si="28"/>
        <v>40589.34</v>
      </c>
      <c r="L32" s="101">
        <f t="shared" si="29"/>
        <v>12156.268999999998</v>
      </c>
      <c r="M32" s="105">
        <f t="shared" si="32"/>
        <v>431.50660000000005</v>
      </c>
      <c r="N32" s="105">
        <f t="shared" si="33"/>
        <v>678.0818</v>
      </c>
      <c r="O32" s="125"/>
      <c r="P32" s="101">
        <f t="shared" si="30"/>
        <v>12587.775599999999</v>
      </c>
      <c r="Q32" s="103">
        <v>1500</v>
      </c>
      <c r="R32" s="101">
        <f t="shared" si="31"/>
        <v>29501.564399999996</v>
      </c>
      <c r="S32" s="107"/>
      <c r="T32" s="141"/>
    </row>
    <row r="33" ht="21" customHeight="1" spans="1:20" s="5" customFormat="1" x14ac:dyDescent="0.25">
      <c r="A33" s="98">
        <v>40</v>
      </c>
      <c r="B33" s="144" t="s">
        <v>220</v>
      </c>
      <c r="C33" s="98" t="s">
        <v>187</v>
      </c>
      <c r="D33" s="98" t="s">
        <v>221</v>
      </c>
      <c r="E33" s="98">
        <v>30</v>
      </c>
      <c r="F33" s="100">
        <v>4794.52</v>
      </c>
      <c r="G33" s="101">
        <f t="shared" si="26"/>
        <v>4794.52</v>
      </c>
      <c r="H33" s="101">
        <f>5958+5946</f>
        <v>11904</v>
      </c>
      <c r="I33" s="106">
        <f>2519.64*0.5</f>
        <v>1259.82</v>
      </c>
      <c r="J33" s="104">
        <f t="shared" si="27"/>
        <v>17958.34</v>
      </c>
      <c r="K33" s="105">
        <f t="shared" si="28"/>
        <v>17958.34</v>
      </c>
      <c r="L33" s="101">
        <f t="shared" si="29"/>
        <v>4235.419</v>
      </c>
      <c r="M33" s="105">
        <f t="shared" si="32"/>
        <v>335.61640000000006</v>
      </c>
      <c r="N33" s="105">
        <f t="shared" si="33"/>
        <v>527.3972</v>
      </c>
      <c r="O33" s="104"/>
      <c r="P33" s="101">
        <f t="shared" si="30"/>
        <v>4571.0354</v>
      </c>
      <c r="Q33" s="106">
        <v>1500</v>
      </c>
      <c r="R33" s="101">
        <f t="shared" si="31"/>
        <v>14887.3046</v>
      </c>
      <c r="S33" s="107"/>
      <c r="T33" s="37"/>
    </row>
    <row r="34" ht="21" customHeight="1" spans="1:20" s="5" customFormat="1" x14ac:dyDescent="0.25">
      <c r="A34" s="98">
        <v>41</v>
      </c>
      <c r="B34" s="99" t="s">
        <v>222</v>
      </c>
      <c r="C34" s="98" t="s">
        <v>187</v>
      </c>
      <c r="D34" s="98" t="s">
        <v>223</v>
      </c>
      <c r="E34" s="98">
        <v>30</v>
      </c>
      <c r="F34" s="100">
        <v>9044.12</v>
      </c>
      <c r="G34" s="101">
        <f t="shared" si="26"/>
        <v>9044.12</v>
      </c>
      <c r="H34" s="102">
        <f>'Performance Summary'!K6</f>
        <v>8560.5</v>
      </c>
      <c r="I34" s="103">
        <f>2788.86</f>
        <v>2788.86</v>
      </c>
      <c r="J34" s="104">
        <f t="shared" si="27"/>
        <v>20393.480000000003</v>
      </c>
      <c r="K34" s="105">
        <f t="shared" si="28"/>
        <v>20393.480000000003</v>
      </c>
      <c r="L34" s="101">
        <f t="shared" si="29"/>
        <v>5087.718000000001</v>
      </c>
      <c r="M34" s="105">
        <f t="shared" si="32"/>
        <v>633.0884000000001</v>
      </c>
      <c r="N34" s="105">
        <f t="shared" si="33"/>
        <v>994.8532000000001</v>
      </c>
      <c r="O34" s="104"/>
      <c r="P34" s="101">
        <f t="shared" si="30"/>
        <v>5720.806400000001</v>
      </c>
      <c r="Q34" s="106">
        <v>1500</v>
      </c>
      <c r="R34" s="101">
        <f t="shared" si="31"/>
        <v>16172.673600000002</v>
      </c>
      <c r="S34" s="107"/>
      <c r="T34" s="37"/>
    </row>
    <row r="35" ht="21" customHeight="1" spans="1:20" s="5" customFormat="1" x14ac:dyDescent="0.25">
      <c r="A35" s="98">
        <v>42</v>
      </c>
      <c r="B35" s="99" t="s">
        <v>224</v>
      </c>
      <c r="C35" s="98" t="s">
        <v>187</v>
      </c>
      <c r="D35" s="98" t="s">
        <v>221</v>
      </c>
      <c r="E35" s="98">
        <v>30</v>
      </c>
      <c r="F35" s="100">
        <v>9044.12</v>
      </c>
      <c r="G35" s="101">
        <f t="shared" si="26"/>
        <v>9044.12</v>
      </c>
      <c r="H35" s="101">
        <v>7064</v>
      </c>
      <c r="I35" s="103">
        <f>2788.86+7027</f>
        <v>9815.86</v>
      </c>
      <c r="J35" s="104">
        <f t="shared" si="27"/>
        <v>25923.980000000003</v>
      </c>
      <c r="K35" s="105">
        <f t="shared" si="28"/>
        <v>25923.980000000003</v>
      </c>
      <c r="L35" s="101">
        <f t="shared" si="29"/>
        <v>7023.393</v>
      </c>
      <c r="M35" s="105">
        <f t="shared" si="32"/>
        <v>633.0884000000001</v>
      </c>
      <c r="N35" s="105">
        <f t="shared" si="33"/>
        <v>994.8532000000001</v>
      </c>
      <c r="O35" s="104"/>
      <c r="P35" s="101">
        <f t="shared" si="30"/>
        <v>7656.481400000001</v>
      </c>
      <c r="Q35" s="106">
        <v>1500</v>
      </c>
      <c r="R35" s="101">
        <f t="shared" si="31"/>
        <v>19767.498600000003</v>
      </c>
      <c r="S35" s="107"/>
      <c r="T35" s="37"/>
    </row>
    <row r="36" ht="25.95" customHeight="1" spans="1:20" s="115" customFormat="1" x14ac:dyDescent="0.25">
      <c r="A36" s="98">
        <v>43</v>
      </c>
      <c r="B36" s="99" t="s">
        <v>225</v>
      </c>
      <c r="C36" s="98" t="s">
        <v>187</v>
      </c>
      <c r="D36" s="98" t="s">
        <v>226</v>
      </c>
      <c r="E36" s="98">
        <v>30</v>
      </c>
      <c r="F36" s="123">
        <v>6164.38</v>
      </c>
      <c r="G36" s="101">
        <f t="shared" si="26"/>
        <v>6164.38</v>
      </c>
      <c r="H36" s="124">
        <f>17858+4601</f>
        <v>22459</v>
      </c>
      <c r="I36" s="109">
        <f>2610.96*0.5</f>
        <v>1305.48</v>
      </c>
      <c r="J36" s="104">
        <f t="shared" si="27"/>
        <v>29928.86</v>
      </c>
      <c r="K36" s="105">
        <f t="shared" si="28"/>
        <v>29928.86</v>
      </c>
      <c r="L36" s="101">
        <f t="shared" si="29"/>
        <v>8425.100999999999</v>
      </c>
      <c r="M36" s="105">
        <f t="shared" si="32"/>
        <v>431.50660000000005</v>
      </c>
      <c r="N36" s="105">
        <f t="shared" si="33"/>
        <v>678.0818</v>
      </c>
      <c r="O36" s="125"/>
      <c r="P36" s="101">
        <f t="shared" si="30"/>
        <v>8856.6076</v>
      </c>
      <c r="Q36" s="103">
        <v>1500</v>
      </c>
      <c r="R36" s="101">
        <f t="shared" si="31"/>
        <v>22572.2524</v>
      </c>
      <c r="S36" s="107"/>
      <c r="T36" s="145"/>
    </row>
    <row r="37" ht="29.4" customHeight="1" spans="1:20" s="115" customFormat="1" x14ac:dyDescent="0.25">
      <c r="A37" s="98">
        <v>44</v>
      </c>
      <c r="B37" s="99" t="s">
        <v>227</v>
      </c>
      <c r="C37" s="98" t="s">
        <v>187</v>
      </c>
      <c r="D37" s="98" t="s">
        <v>226</v>
      </c>
      <c r="E37" s="98">
        <v>30</v>
      </c>
      <c r="F37" s="123">
        <v>6164.38</v>
      </c>
      <c r="G37" s="101">
        <f t="shared" si="26"/>
        <v>6164.38</v>
      </c>
      <c r="H37" s="124">
        <f>6931+8893</f>
        <v>15824</v>
      </c>
      <c r="I37" s="109">
        <v>2610.96</v>
      </c>
      <c r="J37" s="104">
        <f t="shared" si="27"/>
        <v>24599.34</v>
      </c>
      <c r="K37" s="105">
        <f t="shared" si="28"/>
        <v>24599.34</v>
      </c>
      <c r="L37" s="101">
        <f t="shared" si="29"/>
        <v>6559.769</v>
      </c>
      <c r="M37" s="105">
        <f t="shared" si="32"/>
        <v>431.50660000000005</v>
      </c>
      <c r="N37" s="105">
        <f t="shared" si="33"/>
        <v>678.0818</v>
      </c>
      <c r="O37" s="125"/>
      <c r="P37" s="101">
        <f t="shared" si="30"/>
        <v>6991.2756</v>
      </c>
      <c r="Q37" s="103">
        <v>1500</v>
      </c>
      <c r="R37" s="101">
        <f t="shared" si="31"/>
        <v>19108.0644</v>
      </c>
      <c r="S37" s="107"/>
      <c r="T37" s="145"/>
    </row>
    <row r="38" ht="27.6" customHeight="1" spans="1:20" s="5" customFormat="1" x14ac:dyDescent="0.25">
      <c r="A38" s="56" t="s">
        <v>170</v>
      </c>
      <c r="B38" s="56"/>
      <c r="C38" s="56"/>
      <c r="D38" s="56"/>
      <c r="E38" s="57"/>
      <c r="F38" s="146">
        <f>SUM(F5:F37)</f>
        <v>248745.24000000002</v>
      </c>
      <c r="G38" s="146">
        <f t="shared" ref="G38:Q38" si="34">SUM(G5:G37)</f>
        <v>235481.27866666668</v>
      </c>
      <c r="H38" s="146">
        <f t="shared" si="34"/>
        <v>350620.31</v>
      </c>
      <c r="I38" s="146">
        <f t="shared" si="34"/>
        <v>72691.53</v>
      </c>
      <c r="J38" s="146">
        <f t="shared" si="34"/>
        <v>658793.1186666666</v>
      </c>
      <c r="K38" s="146">
        <f t="shared" si="34"/>
        <v>658793.1186666666</v>
      </c>
      <c r="L38" s="146">
        <f t="shared" si="34"/>
        <v>166629.91499999998</v>
      </c>
      <c r="M38" s="146">
        <f t="shared" si="34"/>
        <v>15714.413400000009</v>
      </c>
      <c r="N38" s="146">
        <f t="shared" si="34"/>
        <v>24694.0782</v>
      </c>
      <c r="O38" s="146">
        <f t="shared" si="34"/>
        <v>0</v>
      </c>
      <c r="P38" s="146">
        <f t="shared" si="34"/>
        <v>182344.32839999997</v>
      </c>
      <c r="Q38" s="146">
        <f t="shared" si="34"/>
        <v>41500</v>
      </c>
      <c r="R38" s="146">
        <f>SUM(R5:R37)</f>
        <v>517948.7902666667</v>
      </c>
      <c r="S38" s="59"/>
      <c r="T38" s="37"/>
    </row>
    <row r="39" spans="1:20" x14ac:dyDescent="0.25">
      <c r="A39" s="85"/>
      <c r="B39" s="85"/>
      <c r="C39" s="85"/>
      <c r="D39" s="147"/>
      <c r="E39" s="85"/>
      <c r="F39" s="85"/>
      <c r="G39" s="85"/>
      <c r="H39" s="85"/>
      <c r="I39" s="85"/>
      <c r="J39" s="148"/>
      <c r="K39" s="85"/>
      <c r="L39" s="85"/>
      <c r="M39" s="85"/>
      <c r="N39" s="85"/>
      <c r="O39" s="85"/>
      <c r="P39" s="85"/>
      <c r="Q39" s="85"/>
      <c r="R39" s="85"/>
      <c r="S39" s="83"/>
      <c r="T39" s="85"/>
    </row>
    <row r="40" spans="1:20" x14ac:dyDescent="0.25">
      <c r="A40" s="149" t="s">
        <v>171</v>
      </c>
      <c r="B40" s="149"/>
      <c r="C40" s="149"/>
      <c r="D40" s="149"/>
      <c r="E40" s="150"/>
      <c r="F40" s="85"/>
      <c r="G40" s="149" t="s">
        <v>172</v>
      </c>
      <c r="H40" s="149"/>
      <c r="I40" s="149"/>
      <c r="J40" s="148"/>
      <c r="K40" s="148"/>
      <c r="L40" s="148"/>
      <c r="M40" s="149" t="s">
        <v>173</v>
      </c>
      <c r="N40" s="149"/>
      <c r="O40" s="149"/>
      <c r="P40" s="149"/>
      <c r="Q40" s="149"/>
      <c r="R40" s="151"/>
      <c r="S40" s="83"/>
      <c r="T40" s="85"/>
    </row>
    <row r="41" ht="21.6" customHeight="1" spans="1:20" x14ac:dyDescent="0.25">
      <c r="A41" s="83" t="s">
        <v>174</v>
      </c>
      <c r="B41" s="83"/>
      <c r="C41" s="83"/>
      <c r="D41" s="84"/>
      <c r="E41" s="83"/>
      <c r="F41" s="83"/>
      <c r="G41" s="83" t="s">
        <v>175</v>
      </c>
      <c r="H41" s="83"/>
      <c r="I41" s="83"/>
      <c r="J41" s="152"/>
      <c r="K41" s="152"/>
      <c r="L41" s="152"/>
      <c r="M41" s="83" t="s">
        <v>175</v>
      </c>
      <c r="N41" s="83"/>
      <c r="O41" s="83"/>
      <c r="P41" s="83"/>
      <c r="Q41" s="83"/>
      <c r="R41" s="152"/>
      <c r="S41" s="83"/>
      <c r="T41" s="85"/>
    </row>
    <row r="42" ht="21.6" customHeight="1" spans="1:20" x14ac:dyDescent="0.25">
      <c r="A42" s="83" t="s">
        <v>176</v>
      </c>
      <c r="B42" s="83"/>
      <c r="C42" s="83"/>
      <c r="D42" s="84"/>
      <c r="E42" s="83"/>
      <c r="F42" s="83"/>
      <c r="G42" s="83" t="s">
        <v>177</v>
      </c>
      <c r="H42" s="83"/>
      <c r="I42" s="83"/>
      <c r="J42" s="152"/>
      <c r="K42" s="152"/>
      <c r="L42" s="152"/>
      <c r="M42" s="83" t="s">
        <v>177</v>
      </c>
      <c r="N42" s="83"/>
      <c r="O42" s="83"/>
      <c r="P42" s="83"/>
      <c r="Q42" s="83"/>
      <c r="R42" s="152"/>
      <c r="S42" s="83"/>
      <c r="T42" s="85"/>
    </row>
    <row r="43" ht="21.6" customHeight="1" spans="1:20" x14ac:dyDescent="0.25">
      <c r="A43" s="83" t="s">
        <v>178</v>
      </c>
      <c r="B43" s="83"/>
      <c r="C43" s="83"/>
      <c r="D43" s="84"/>
      <c r="E43" s="83"/>
      <c r="F43" s="83"/>
      <c r="G43" s="83" t="s">
        <v>179</v>
      </c>
      <c r="H43" s="83"/>
      <c r="I43" s="152"/>
      <c r="J43" s="152"/>
      <c r="K43" s="83"/>
      <c r="L43" s="83"/>
      <c r="M43" s="83" t="s">
        <v>179</v>
      </c>
      <c r="N43" s="83"/>
      <c r="O43" s="83"/>
      <c r="P43" s="83"/>
      <c r="Q43" s="152"/>
      <c r="R43" s="83"/>
      <c r="S43" s="83"/>
      <c r="T43" s="85"/>
    </row>
    <row r="44" spans="1:20" x14ac:dyDescent="0.25">
      <c r="A44" s="83"/>
      <c r="B44" s="83"/>
      <c r="C44" s="83"/>
      <c r="D44" s="84"/>
      <c r="E44" s="83"/>
      <c r="F44" s="15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5"/>
    </row>
    <row r="45" spans="1:20" x14ac:dyDescent="0.25">
      <c r="A45" s="83"/>
      <c r="B45" s="83"/>
      <c r="C45" s="83"/>
      <c r="D45" s="84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5"/>
    </row>
    <row r="46" spans="1:20" x14ac:dyDescent="0.25">
      <c r="A46" s="83"/>
      <c r="B46" s="83"/>
      <c r="C46" s="83"/>
      <c r="D46" s="84"/>
      <c r="E46" s="83"/>
      <c r="F46" s="83"/>
      <c r="G46" s="83"/>
      <c r="H46" s="152"/>
      <c r="I46" s="83"/>
      <c r="J46" s="83"/>
      <c r="K46" s="83"/>
      <c r="L46" s="83"/>
      <c r="M46" s="83"/>
      <c r="N46" s="83"/>
      <c r="O46" s="83"/>
      <c r="P46" s="85"/>
      <c r="Q46" s="85"/>
      <c r="R46" s="85"/>
      <c r="S46" s="85"/>
      <c r="T46" s="85"/>
    </row>
    <row r="47" spans="1:20" x14ac:dyDescent="0.25">
      <c r="A47" s="83"/>
      <c r="B47" s="83"/>
      <c r="C47" s="83"/>
      <c r="D47" s="84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5"/>
      <c r="Q47" s="85"/>
      <c r="R47" s="85"/>
      <c r="S47" s="85"/>
      <c r="T47" s="85"/>
    </row>
    <row r="48" spans="1:20" x14ac:dyDescent="0.25">
      <c r="A48" s="83"/>
      <c r="B48" s="83"/>
      <c r="C48" s="83"/>
      <c r="D48" s="84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5"/>
      <c r="Q48" s="85"/>
      <c r="R48" s="85"/>
      <c r="S48" s="85"/>
      <c r="T48" s="85"/>
    </row>
    <row r="49" spans="1:20" x14ac:dyDescent="0.25">
      <c r="A49" s="83"/>
      <c r="B49" s="83"/>
      <c r="C49" s="83"/>
      <c r="D49" s="84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5"/>
    </row>
    <row r="50" spans="1:20" x14ac:dyDescent="0.25">
      <c r="A50" s="83"/>
      <c r="B50" s="83"/>
      <c r="C50" s="83"/>
      <c r="D50" s="84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5"/>
    </row>
    <row r="51" spans="1:20" x14ac:dyDescent="0.25">
      <c r="A51" s="83"/>
      <c r="B51" s="83"/>
      <c r="C51" s="83"/>
      <c r="D51" s="84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5"/>
    </row>
    <row r="52" spans="1:20" x14ac:dyDescent="0.25">
      <c r="A52" s="83"/>
      <c r="B52" s="83"/>
      <c r="C52" s="83"/>
      <c r="D52" s="84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5"/>
    </row>
    <row r="53" spans="1:20" x14ac:dyDescent="0.25">
      <c r="A53" s="83"/>
      <c r="B53" s="83"/>
      <c r="C53" s="83"/>
      <c r="D53" s="84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5"/>
    </row>
    <row r="54" spans="1:20" x14ac:dyDescent="0.25">
      <c r="A54" s="83"/>
      <c r="B54" s="83"/>
      <c r="C54" s="83"/>
      <c r="D54" s="84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5"/>
    </row>
    <row r="55" spans="1:20" x14ac:dyDescent="0.25">
      <c r="A55" s="83"/>
      <c r="B55" s="83"/>
      <c r="C55" s="83"/>
      <c r="D55" s="84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5"/>
    </row>
    <row r="56" spans="1:20" x14ac:dyDescent="0.25">
      <c r="A56" s="83"/>
      <c r="B56" s="83"/>
      <c r="C56" s="83"/>
      <c r="D56" s="84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5"/>
    </row>
    <row r="57" spans="1:20" x14ac:dyDescent="0.25">
      <c r="A57" s="83"/>
      <c r="B57" s="83"/>
      <c r="C57" s="83"/>
      <c r="D57" s="84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5"/>
    </row>
    <row r="58" spans="1:20" x14ac:dyDescent="0.25">
      <c r="A58" s="83"/>
      <c r="B58" s="83"/>
      <c r="C58" s="83"/>
      <c r="D58" s="84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5"/>
    </row>
    <row r="59" spans="1:20" x14ac:dyDescent="0.25">
      <c r="A59" s="83"/>
      <c r="B59" s="83"/>
      <c r="C59" s="83"/>
      <c r="D59" s="84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5"/>
    </row>
    <row r="60" spans="1:20" s="83" customFormat="1" x14ac:dyDescent="0.25">
      <c r="A60" s="83"/>
      <c r="B60" s="83"/>
      <c r="C60" s="83"/>
      <c r="D60" s="84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</row>
  </sheetData>
  <autoFilter ref="A4:S38"/>
  <mergeCells count="7">
    <mergeCell ref="A1:S1"/>
    <mergeCell ref="A2:S2"/>
    <mergeCell ref="A3:S3"/>
    <mergeCell ref="A38:E38"/>
    <mergeCell ref="A40:B40"/>
    <mergeCell ref="G40:H40"/>
    <mergeCell ref="M40:P40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HO,A.A SHOP</vt:lpstr>
      <vt:lpstr>DSA</vt:lpstr>
      <vt:lpstr>EBU Department</vt:lpstr>
      <vt:lpstr>Aleletu</vt:lpstr>
      <vt:lpstr>Chacha</vt:lpstr>
      <vt:lpstr>Legetafo</vt:lpstr>
      <vt:lpstr>Hmariam</vt:lpstr>
      <vt:lpstr>Sirti</vt:lpstr>
      <vt:lpstr>Mendida</vt:lpstr>
      <vt:lpstr>Sendafa</vt:lpstr>
      <vt:lpstr>Sheno</vt:lpstr>
      <vt:lpstr>Performance Summary</vt:lpstr>
      <vt:lpstr>Overtime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NEW</cp:lastModifiedBy>
  <cp:lastPrinted>2026-06-12T13:43:30Z</cp:lastPrinted>
  <dcterms:created xsi:type="dcterms:W3CDTF">2025-07-31T13:46:19Z</dcterms:created>
  <dcterms:modified xsi:type="dcterms:W3CDTF">2026-07-15T12:57:49Z</dcterms:modified>
</cp:coreProperties>
</file>